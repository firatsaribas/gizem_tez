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Makale-21-01-26/"/>
    </mc:Choice>
  </mc:AlternateContent>
  <xr:revisionPtr revIDLastSave="0" documentId="13_ncr:1_{C5687558-0270-4F4C-A2E7-A0C87C3D4D55}" xr6:coauthVersionLast="47" xr6:coauthVersionMax="47" xr10:uidLastSave="{00000000-0000-0000-0000-000000000000}"/>
  <bookViews>
    <workbookView xWindow="0" yWindow="960" windowWidth="29400" windowHeight="16980" activeTab="6" xr2:uid="{00000000-000D-0000-FFFF-FFFF00000000}"/>
  </bookViews>
  <sheets>
    <sheet name="Instructions" sheetId="1" r:id="rId1"/>
    <sheet name="Dimensions" sheetId="2" r:id="rId2"/>
    <sheet name="Scenarios" sheetId="3" r:id="rId3"/>
    <sheet name="Vehicles" sheetId="4" r:id="rId4"/>
    <sheet name="Farmers" sheetId="5" r:id="rId5"/>
    <sheet name="Harvest" sheetId="6" r:id="rId6"/>
    <sheet name="Coordinates" sheetId="7" r:id="rId7"/>
    <sheet name="Sayfa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O2" i="6" a="1"/>
  <c r="O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<sst xmlns="http://schemas.openxmlformats.org/spreadsheetml/2006/main" count="133" uniqueCount="114">
  <si>
    <t>HOW TO USE THIS FILE</t>
  </si>
  <si>
    <t>1. DIMENSIONS: set nF, nK, nT, nS.</t>
  </si>
  <si>
    <t>2. SCENARIOS: enter d_s and rho_s (probabilities must sum to 1).</t>
  </si>
  <si>
    <t>3. VEHICLES: one row per vehicle k with capacity q_k (kg). Match nK.</t>
  </si>
  <si>
    <t>4. FARMERS: one row per farmer -- r_price (TL/kg), alpha (TL/visit), a0 (kg).</t>
  </si>
  <si>
    <t xml:space="preserve">   Match nF. a0 is intentionally nonzero for every farmer.</t>
  </si>
  <si>
    <t>5. HARVEST: one row per farmer-period pair -- g_it (kg). Must have nF x nT rows.</t>
  </si>
  <si>
    <t>6. COORDINATES: lat/lon for all nodes (hub=0, farmers=1..nF, origins=nF+1..nF+nK).</t>
  </si>
  <si>
    <t>Blue cells are editable inputs. Do not rename sheets or change column headers.</t>
  </si>
  <si>
    <t>THIS INSTANCE (nF=10, nK=2, nT=6, nS=3):</t>
  </si>
  <si>
    <t xml:space="preserve">  Intermediate-size instance between the full 15/3/6/3 base case and the</t>
  </si>
  <si>
    <t xml:space="preserve">  smaller 10/2/5/2 relaxed pilot: farmers and vehicles are cut, but the full</t>
  </si>
  <si>
    <t xml:space="preserve">  6-period horizon and 3-scenario stochastic structure are restored.</t>
  </si>
  <si>
    <t xml:space="preserve">  Farmers = same 10 largest-production 2024 TUIK districts (5 Manisa + 5 Izmir)</t>
  </si>
  <si>
    <t xml:space="preserve">  used in the 10/2/5/2 pilot; harvest g_it, a0, r_price and alpha values are</t>
  </si>
  <si>
    <t xml:space="preserve">  carried over UNCHANGED from the approved 15-farmer/6-period base case for</t>
  </si>
  <si>
    <t xml:space="preserve">  these 10 farmers -- only the dropped farmers differ, no values were rescaled.</t>
  </si>
  <si>
    <t xml:space="preserve">  Scenarios restored to the original 3-point set: favorable (d=0.08, rho=0.25),</t>
  </si>
  <si>
    <t xml:space="preserve">  normal (d=0.15, rho=0.50), unfavorable (d=0.25, rho=0.25).</t>
  </si>
  <si>
    <t xml:space="preserve">  Fleet = 2 vehicles, 4,600 + 4,200 kg = 8,800 kg/period -- binds periods 1-4</t>
  </si>
  <si>
    <t xml:space="preserve">  (harvest-heavy) and eases in periods 5-6, so deferred cohorts can still be</t>
  </si>
  <si>
    <t xml:space="preserve">  caught up (and collected at age &gt;= 2) later in the horizon.</t>
  </si>
  <si>
    <t xml:space="preserve">  Sizing check (relative to the original 15/3/6/3 instance):</t>
  </si>
  <si>
    <t xml:space="preserve">    total decision variables  ~ 35.9% of the original</t>
  </si>
  <si>
    <t xml:space="preserve">    flow variables (F)        ~ 30.4% of the original</t>
  </si>
  <si>
    <t>Parameter</t>
  </si>
  <si>
    <t>Value</t>
  </si>
  <si>
    <t>Description</t>
  </si>
  <si>
    <t>nF</t>
  </si>
  <si>
    <t>Number of farmers</t>
  </si>
  <si>
    <t>nK</t>
  </si>
  <si>
    <t>Number of vehicles</t>
  </si>
  <si>
    <t>nT</t>
  </si>
  <si>
    <t>Number of periods</t>
  </si>
  <si>
    <t>nS</t>
  </si>
  <si>
    <t>Number of scenarios</t>
  </si>
  <si>
    <t>s</t>
  </si>
  <si>
    <t>d_s (deterioration rate)</t>
  </si>
  <si>
    <t>rho_s (probability)</t>
  </si>
  <si>
    <t>k</t>
  </si>
  <si>
    <t>q_k (kg)</t>
  </si>
  <si>
    <t>Medium collection truck - origin: Manisa-side depot (Turgutlu area)</t>
  </si>
  <si>
    <t>Medium collection truck - origin: Izmir-side depot (Torbali area)</t>
  </si>
  <si>
    <t>i</t>
  </si>
  <si>
    <t>r_price (TL/kg)</t>
  </si>
  <si>
    <t>alpha (TL/visit)</t>
  </si>
  <si>
    <t>a0 (kg)</t>
  </si>
  <si>
    <t>i (farmer)</t>
  </si>
  <si>
    <t>t (period)</t>
  </si>
  <si>
    <t>g_it (kg)</t>
  </si>
  <si>
    <t>node</t>
  </si>
  <si>
    <t>lat</t>
  </si>
  <si>
    <t>lon</t>
  </si>
  <si>
    <t>type</t>
  </si>
  <si>
    <t>Farmer</t>
  </si>
  <si>
    <t>t1</t>
  </si>
  <si>
    <t>t2</t>
  </si>
  <si>
    <t>t3</t>
  </si>
  <si>
    <t>t4</t>
  </si>
  <si>
    <t>t5</t>
  </si>
  <si>
    <t>t6</t>
  </si>
  <si>
    <t>Toplam</t>
  </si>
  <si>
    <t>İlçe</t>
  </si>
  <si>
    <t>Profil</t>
  </si>
  <si>
    <t>t1 harvest</t>
  </si>
  <si>
    <t>a0 önerisi</t>
  </si>
  <si>
    <t>Turgutlu</t>
  </si>
  <si>
    <t>early</t>
  </si>
  <si>
    <t>mid</t>
  </si>
  <si>
    <t>Ahmetli</t>
  </si>
  <si>
    <t>mid-late</t>
  </si>
  <si>
    <t>Salihli</t>
  </si>
  <si>
    <t>late</t>
  </si>
  <si>
    <t>Alaşehir</t>
  </si>
  <si>
    <t>Sarıgöl</t>
  </si>
  <si>
    <t>Kırkağaç</t>
  </si>
  <si>
    <t>Kınık</t>
  </si>
  <si>
    <t>Menemen</t>
  </si>
  <si>
    <t>early-mid</t>
  </si>
  <si>
    <t>Torbalı</t>
  </si>
  <si>
    <t>Ödemiş</t>
  </si>
  <si>
    <t>Rol</t>
  </si>
  <si>
    <t>alpha</t>
  </si>
  <si>
    <t>yakın, organize büyük üretici</t>
  </si>
  <si>
    <t>8.0</t>
  </si>
  <si>
    <t>küçük-orta, köy yolu</t>
  </si>
  <si>
    <t>10.0</t>
  </si>
  <si>
    <t>büyük, organize</t>
  </si>
  <si>
    <t>9.0</t>
  </si>
  <si>
    <t>uzak, düşük hacim</t>
  </si>
  <si>
    <t>uzak, manuel yükleme</t>
  </si>
  <si>
    <t>13.0</t>
  </si>
  <si>
    <t>orta, kuzey hattı</t>
  </si>
  <si>
    <t>11.0</t>
  </si>
  <si>
    <t>küçük/uzak</t>
  </si>
  <si>
    <t>12.0</t>
  </si>
  <si>
    <t>büyük, iyi erişim</t>
  </si>
  <si>
    <t>güçlü üretici</t>
  </si>
  <si>
    <t>uzak/rota sonu</t>
  </si>
  <si>
    <t>hub (Turgutlu packing facility)</t>
  </si>
  <si>
    <t>farmer 4 (Salihli, Sart side)</t>
  </si>
  <si>
    <t>farmer 12 (Menemen, Emiralem/Seyrek side)</t>
  </si>
  <si>
    <t>farmer 1 (Turgutlu, Urganli side)</t>
  </si>
  <si>
    <t>farmer 3 (Ahmetli, Gokkaya side)</t>
  </si>
  <si>
    <t>farmer 6 (Alasehir, Yesilyurt side)</t>
  </si>
  <si>
    <t>farmer 7 (Sarigol, Dindarli side)</t>
  </si>
  <si>
    <t>farmer 9 (Kirkagac, Bakir side)</t>
  </si>
  <si>
    <t>farmer 11 (Kinik, Poyracik side)</t>
  </si>
  <si>
    <t>farmer 13 (Torbali, Pancar side)</t>
  </si>
  <si>
    <t>farmer 15 (Odemis, Kaymakci side)</t>
  </si>
  <si>
    <t>origin 1 (Turgutlu west-side depot / Urganli area)</t>
  </si>
  <si>
    <t>origin 3 (north-side depot, Akhisar area)</t>
  </si>
  <si>
    <t>origin 4 (south-side depot, Tire/Torbali area)</t>
  </si>
  <si>
    <t>2,5,8,10,14 ve origin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</si>
</sst>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25</v>
      </c>
      <c r="B1" s="1" t="s">
        <v>26</v>
      </c>
      <c r="C1" s="1" t="s">
        <v>27</v>
      </c>
    </row>
    <row r="2" spans="1:3" x14ac:dyDescent="0.2">
      <c r="A2" t="s">
        <v>28</v>
      </c>
      <c r="B2">
        <v>10</v>
      </c>
      <c r="C2" t="s">
        <v>29</v>
      </c>
    </row>
    <row r="3" spans="1:3" x14ac:dyDescent="0.2">
      <c r="A3" t="s">
        <v>30</v>
      </c>
      <c r="B3">
        <v>2</v>
      </c>
      <c r="C3" t="s">
        <v>31</v>
      </c>
    </row>
    <row r="4" spans="1:3" x14ac:dyDescent="0.2">
      <c r="A4" t="s">
        <v>32</v>
      </c>
      <c r="B4">
        <v>6</v>
      </c>
      <c r="C4" t="s">
        <v>33</v>
      </c>
    </row>
    <row r="5" spans="1:3" x14ac:dyDescent="0.2">
      <c r="A5" t="s">
        <v>34</v>
      </c>
      <c r="B5">
        <v>3</v>
      </c>
      <c r="C5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36</v>
      </c>
      <c r="B1" s="1" t="s">
        <v>37</v>
      </c>
      <c r="C1" s="1" t="s">
        <v>38</v>
      </c>
    </row>
    <row r="2" spans="1:3" x14ac:dyDescent="0.2">
      <c r="A2">
        <v>1</v>
      </c>
      <c r="B2" s="4">
        <v>0.02</v>
      </c>
      <c r="C2">
        <v>0.25</v>
      </c>
    </row>
    <row r="3" spans="1:3" x14ac:dyDescent="0.2">
      <c r="A3">
        <v>2</v>
      </c>
      <c r="B3" s="4">
        <v>4.4999999999999998E-2</v>
      </c>
      <c r="C3">
        <v>0.55000000000000004</v>
      </c>
    </row>
    <row r="4" spans="1:3" x14ac:dyDescent="0.2">
      <c r="A4">
        <v>3</v>
      </c>
      <c r="B4" s="4">
        <v>8.5000000000000006E-2</v>
      </c>
      <c r="C4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39</v>
      </c>
      <c r="B1" s="1" t="s">
        <v>40</v>
      </c>
      <c r="C1" s="1" t="s">
        <v>27</v>
      </c>
    </row>
    <row r="2" spans="1:3" x14ac:dyDescent="0.2">
      <c r="A2">
        <v>1</v>
      </c>
      <c r="B2" s="4">
        <v>3500</v>
      </c>
      <c r="C2" t="s">
        <v>41</v>
      </c>
    </row>
    <row r="3" spans="1:3" x14ac:dyDescent="0.2">
      <c r="A3">
        <v>2</v>
      </c>
      <c r="B3" s="4">
        <v>3500</v>
      </c>
      <c r="C3" t="s">
        <v>42</v>
      </c>
    </row>
    <row r="4" spans="1:3" x14ac:dyDescent="0.2">
      <c r="B4" s="4"/>
    </row>
    <row r="5" spans="1:3" x14ac:dyDescent="0.2">
      <c r="B5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selection activeCell="G32" sqref="G32:J32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12" x14ac:dyDescent="0.2">
      <c r="A1" s="1" t="s">
        <v>43</v>
      </c>
      <c r="B1" s="1" t="s">
        <v>44</v>
      </c>
      <c r="C1" s="1" t="s">
        <v>45</v>
      </c>
      <c r="D1" s="1" t="s">
        <v>46</v>
      </c>
      <c r="H1" s="2" t="s">
        <v>54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x14ac:dyDescent="0.2">
      <c r="A2" s="3">
        <v>1</v>
      </c>
      <c r="B2">
        <v>0.52</v>
      </c>
      <c r="C2">
        <v>8</v>
      </c>
      <c r="D2" s="3">
        <v>230</v>
      </c>
      <c r="H2" s="3">
        <v>1</v>
      </c>
      <c r="I2" s="3" t="s">
        <v>66</v>
      </c>
      <c r="J2" s="3" t="s">
        <v>67</v>
      </c>
      <c r="K2" s="3">
        <v>780</v>
      </c>
      <c r="L2" s="3">
        <v>230</v>
      </c>
    </row>
    <row r="3" spans="1:12" x14ac:dyDescent="0.2">
      <c r="A3" s="3">
        <v>2</v>
      </c>
      <c r="B3">
        <v>0.49</v>
      </c>
      <c r="C3">
        <v>10</v>
      </c>
      <c r="D3" s="3">
        <v>15</v>
      </c>
      <c r="H3" s="3"/>
      <c r="I3" s="3"/>
      <c r="J3" s="3"/>
      <c r="K3" s="3"/>
      <c r="L3" s="3"/>
    </row>
    <row r="4" spans="1:12" x14ac:dyDescent="0.2">
      <c r="A4" s="3">
        <v>3</v>
      </c>
      <c r="B4">
        <v>0.54</v>
      </c>
      <c r="C4">
        <v>9</v>
      </c>
      <c r="D4" s="3">
        <v>110</v>
      </c>
      <c r="H4" s="3">
        <v>3</v>
      </c>
      <c r="I4" s="3" t="s">
        <v>69</v>
      </c>
      <c r="J4" s="3" t="s">
        <v>70</v>
      </c>
      <c r="K4" s="3">
        <v>100</v>
      </c>
      <c r="L4" s="3">
        <v>15</v>
      </c>
    </row>
    <row r="5" spans="1:12" x14ac:dyDescent="0.2">
      <c r="A5" s="3">
        <v>4</v>
      </c>
      <c r="B5">
        <v>0.47</v>
      </c>
      <c r="C5">
        <v>12.5</v>
      </c>
      <c r="D5" s="3">
        <v>0</v>
      </c>
      <c r="H5" s="3">
        <v>4</v>
      </c>
      <c r="I5" s="3" t="s">
        <v>71</v>
      </c>
      <c r="J5" s="3" t="s">
        <v>68</v>
      </c>
      <c r="K5" s="3">
        <v>580</v>
      </c>
      <c r="L5" s="3">
        <v>110</v>
      </c>
    </row>
    <row r="6" spans="1:12" x14ac:dyDescent="0.2">
      <c r="A6" s="3">
        <v>5</v>
      </c>
      <c r="B6">
        <v>0.48</v>
      </c>
      <c r="C6">
        <v>13</v>
      </c>
      <c r="D6" s="3">
        <v>5</v>
      </c>
      <c r="H6" s="3"/>
      <c r="I6" s="3"/>
      <c r="J6" s="3"/>
      <c r="K6" s="3"/>
      <c r="L6" s="3"/>
    </row>
    <row r="7" spans="1:12" x14ac:dyDescent="0.2">
      <c r="A7" s="3">
        <v>6</v>
      </c>
      <c r="B7">
        <v>0.49</v>
      </c>
      <c r="C7">
        <v>11</v>
      </c>
      <c r="D7" s="3">
        <v>20</v>
      </c>
      <c r="H7" s="3">
        <v>6</v>
      </c>
      <c r="I7" s="3" t="s">
        <v>73</v>
      </c>
      <c r="J7" s="3" t="s">
        <v>72</v>
      </c>
      <c r="K7" s="3">
        <v>30</v>
      </c>
      <c r="L7" s="3">
        <v>0</v>
      </c>
    </row>
    <row r="8" spans="1:12" x14ac:dyDescent="0.2">
      <c r="A8" s="3">
        <v>7</v>
      </c>
      <c r="B8">
        <v>0.5</v>
      </c>
      <c r="C8">
        <v>12</v>
      </c>
      <c r="D8" s="3">
        <v>5</v>
      </c>
      <c r="H8" s="3">
        <v>7</v>
      </c>
      <c r="I8" s="3" t="s">
        <v>74</v>
      </c>
      <c r="J8" s="3" t="s">
        <v>72</v>
      </c>
      <c r="K8" s="3">
        <v>40</v>
      </c>
      <c r="L8" s="3">
        <v>5</v>
      </c>
    </row>
    <row r="9" spans="1:12" x14ac:dyDescent="0.2">
      <c r="A9" s="3">
        <v>8</v>
      </c>
      <c r="B9">
        <v>0.54</v>
      </c>
      <c r="C9">
        <v>8.5</v>
      </c>
      <c r="D9" s="3">
        <v>160</v>
      </c>
      <c r="H9" s="3"/>
      <c r="I9" s="3"/>
      <c r="J9" s="3"/>
      <c r="K9" s="3"/>
      <c r="L9" s="3"/>
    </row>
    <row r="10" spans="1:12" x14ac:dyDescent="0.2">
      <c r="A10" s="3">
        <v>9</v>
      </c>
      <c r="B10">
        <v>0.53</v>
      </c>
      <c r="C10">
        <v>9.5</v>
      </c>
      <c r="D10" s="3">
        <v>70</v>
      </c>
      <c r="H10" s="3">
        <v>9</v>
      </c>
      <c r="I10" s="3" t="s">
        <v>75</v>
      </c>
      <c r="J10" s="3" t="s">
        <v>70</v>
      </c>
      <c r="K10" s="3">
        <v>120</v>
      </c>
      <c r="L10" s="3">
        <v>20</v>
      </c>
    </row>
    <row r="11" spans="1:12" x14ac:dyDescent="0.2">
      <c r="A11" s="3">
        <v>10</v>
      </c>
      <c r="B11">
        <v>0.49</v>
      </c>
      <c r="C11">
        <v>12.5</v>
      </c>
      <c r="D11" s="3">
        <v>5</v>
      </c>
      <c r="H11" s="3"/>
      <c r="I11" s="3"/>
      <c r="J11" s="3"/>
      <c r="K11" s="3"/>
      <c r="L11" s="3"/>
    </row>
    <row r="12" spans="1:12" x14ac:dyDescent="0.2">
      <c r="H12" s="3">
        <v>11</v>
      </c>
      <c r="I12" s="3" t="s">
        <v>76</v>
      </c>
      <c r="J12" s="3" t="s">
        <v>72</v>
      </c>
      <c r="K12" s="3">
        <v>55</v>
      </c>
      <c r="L12" s="3">
        <v>5</v>
      </c>
    </row>
    <row r="13" spans="1:12" x14ac:dyDescent="0.2">
      <c r="H13" s="3">
        <v>12</v>
      </c>
      <c r="I13" s="3" t="s">
        <v>77</v>
      </c>
      <c r="J13" s="3" t="s">
        <v>78</v>
      </c>
      <c r="K13" s="3">
        <v>635</v>
      </c>
      <c r="L13" s="3">
        <v>160</v>
      </c>
    </row>
    <row r="14" spans="1:12" x14ac:dyDescent="0.2">
      <c r="H14" s="3">
        <v>13</v>
      </c>
      <c r="I14" s="3" t="s">
        <v>79</v>
      </c>
      <c r="J14" s="3" t="s">
        <v>68</v>
      </c>
      <c r="K14" s="3">
        <v>360</v>
      </c>
      <c r="L14" s="3">
        <v>70</v>
      </c>
    </row>
    <row r="15" spans="1:12" x14ac:dyDescent="0.2">
      <c r="A15" s="3"/>
      <c r="D15" s="3"/>
      <c r="H15" s="3"/>
      <c r="I15" s="3"/>
      <c r="J15" s="3"/>
      <c r="K15" s="3"/>
      <c r="L15" s="3"/>
    </row>
    <row r="16" spans="1:12" x14ac:dyDescent="0.2">
      <c r="H16" s="3">
        <v>15</v>
      </c>
      <c r="I16" s="3" t="s">
        <v>80</v>
      </c>
      <c r="J16" s="3" t="s">
        <v>72</v>
      </c>
      <c r="K16" s="3">
        <v>55</v>
      </c>
      <c r="L16" s="3">
        <v>5</v>
      </c>
    </row>
    <row r="18" spans="7:10" x14ac:dyDescent="0.2">
      <c r="G18" s="2" t="s">
        <v>54</v>
      </c>
      <c r="H18" s="2" t="s">
        <v>62</v>
      </c>
      <c r="I18" s="2" t="s">
        <v>81</v>
      </c>
      <c r="J18" s="2" t="s">
        <v>82</v>
      </c>
    </row>
    <row r="19" spans="7:10" x14ac:dyDescent="0.2">
      <c r="G19" s="3">
        <v>1</v>
      </c>
      <c r="H19" s="3" t="s">
        <v>66</v>
      </c>
      <c r="I19" s="3" t="s">
        <v>83</v>
      </c>
      <c r="J19" s="6" t="s">
        <v>84</v>
      </c>
    </row>
    <row r="20" spans="7:10" x14ac:dyDescent="0.2">
      <c r="G20" s="3"/>
      <c r="H20" s="3"/>
      <c r="I20" s="3"/>
      <c r="J20" s="6"/>
    </row>
    <row r="21" spans="7:10" x14ac:dyDescent="0.2">
      <c r="G21" s="3">
        <v>3</v>
      </c>
      <c r="H21" s="3" t="s">
        <v>69</v>
      </c>
      <c r="I21" s="3" t="s">
        <v>85</v>
      </c>
      <c r="J21" s="6" t="s">
        <v>86</v>
      </c>
    </row>
    <row r="22" spans="7:10" x14ac:dyDescent="0.2">
      <c r="G22" s="3">
        <v>4</v>
      </c>
      <c r="H22" s="3" t="s">
        <v>71</v>
      </c>
      <c r="I22" s="3" t="s">
        <v>87</v>
      </c>
      <c r="J22" s="6" t="s">
        <v>88</v>
      </c>
    </row>
    <row r="23" spans="7:10" x14ac:dyDescent="0.2">
      <c r="G23" s="3"/>
      <c r="H23" s="3"/>
      <c r="I23" s="3"/>
      <c r="J23" s="6"/>
    </row>
    <row r="24" spans="7:10" x14ac:dyDescent="0.2">
      <c r="G24" s="3">
        <v>6</v>
      </c>
      <c r="H24" s="3" t="s">
        <v>73</v>
      </c>
      <c r="I24" s="3" t="s">
        <v>89</v>
      </c>
      <c r="J24" s="6">
        <v>46154</v>
      </c>
    </row>
    <row r="25" spans="7:10" x14ac:dyDescent="0.2">
      <c r="G25" s="3">
        <v>7</v>
      </c>
      <c r="H25" s="3" t="s">
        <v>74</v>
      </c>
      <c r="I25" s="3" t="s">
        <v>90</v>
      </c>
      <c r="J25" s="6" t="s">
        <v>91</v>
      </c>
    </row>
    <row r="26" spans="7:10" x14ac:dyDescent="0.2">
      <c r="G26" s="3"/>
      <c r="H26" s="3"/>
      <c r="I26" s="3"/>
      <c r="J26" s="6"/>
    </row>
    <row r="27" spans="7:10" x14ac:dyDescent="0.2">
      <c r="G27" s="3">
        <v>9</v>
      </c>
      <c r="H27" s="3" t="s">
        <v>75</v>
      </c>
      <c r="I27" s="3" t="s">
        <v>92</v>
      </c>
      <c r="J27" s="6" t="s">
        <v>93</v>
      </c>
    </row>
    <row r="28" spans="7:10" x14ac:dyDescent="0.2">
      <c r="G28" s="3"/>
      <c r="H28" s="3"/>
      <c r="I28" s="3"/>
      <c r="J28" s="6"/>
    </row>
    <row r="29" spans="7:10" x14ac:dyDescent="0.2">
      <c r="G29" s="3">
        <v>11</v>
      </c>
      <c r="H29" s="3" t="s">
        <v>76</v>
      </c>
      <c r="I29" s="3" t="s">
        <v>94</v>
      </c>
      <c r="J29" s="6" t="s">
        <v>95</v>
      </c>
    </row>
    <row r="30" spans="7:10" x14ac:dyDescent="0.2">
      <c r="G30" s="3">
        <v>12</v>
      </c>
      <c r="H30" s="3" t="s">
        <v>77</v>
      </c>
      <c r="I30" s="3" t="s">
        <v>96</v>
      </c>
      <c r="J30" s="6">
        <v>46150</v>
      </c>
    </row>
    <row r="31" spans="7:10" x14ac:dyDescent="0.2">
      <c r="G31" s="3">
        <v>13</v>
      </c>
      <c r="H31" s="3" t="s">
        <v>79</v>
      </c>
      <c r="I31" s="3" t="s">
        <v>97</v>
      </c>
      <c r="J31" s="6">
        <v>46151</v>
      </c>
    </row>
    <row r="32" spans="7:10" x14ac:dyDescent="0.2">
      <c r="G32" s="3"/>
      <c r="H32" s="3"/>
      <c r="I32" s="3"/>
      <c r="J32" s="6"/>
    </row>
    <row r="33" spans="7:10" x14ac:dyDescent="0.2">
      <c r="G33" s="3">
        <v>15</v>
      </c>
      <c r="H33" s="3" t="s">
        <v>80</v>
      </c>
      <c r="I33" s="3" t="s">
        <v>98</v>
      </c>
      <c r="J33" s="6">
        <v>46154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1"/>
  <sheetViews>
    <sheetView workbookViewId="0">
      <selection activeCell="F1" sqref="F1:M1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3.83203125" customWidth="1"/>
    <col min="4" max="4" width="34" customWidth="1"/>
  </cols>
  <sheetData>
    <row r="1" spans="1:15" x14ac:dyDescent="0.2">
      <c r="A1" s="1" t="s">
        <v>47</v>
      </c>
      <c r="B1" s="1" t="s">
        <v>48</v>
      </c>
      <c r="C1" s="1" t="s">
        <v>49</v>
      </c>
      <c r="D1" s="1"/>
      <c r="E1" s="1"/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</row>
    <row r="2" spans="1:15" x14ac:dyDescent="0.2">
      <c r="A2">
        <v>1</v>
      </c>
      <c r="B2">
        <v>1</v>
      </c>
      <c r="C2" s="5">
        <v>780</v>
      </c>
      <c r="F2" s="3">
        <v>1</v>
      </c>
      <c r="G2" s="3">
        <v>780</v>
      </c>
      <c r="H2" s="3">
        <v>715</v>
      </c>
      <c r="I2" s="3">
        <v>620</v>
      </c>
      <c r="J2" s="3">
        <v>490</v>
      </c>
      <c r="K2" s="3">
        <v>390</v>
      </c>
      <c r="L2" s="3">
        <v>260</v>
      </c>
      <c r="M2" s="3">
        <f>SUM(G2:L2)</f>
        <v>3255</v>
      </c>
      <c r="O2" cm="1">
        <f t="array" ref="O2:O61">_xlfn.TOCOL(G2:L11)</f>
        <v>780</v>
      </c>
    </row>
    <row r="3" spans="1:15" x14ac:dyDescent="0.2">
      <c r="A3">
        <v>1</v>
      </c>
      <c r="B3">
        <v>2</v>
      </c>
      <c r="C3" s="5">
        <v>715</v>
      </c>
      <c r="F3" s="3">
        <v>2</v>
      </c>
      <c r="G3" s="3">
        <v>100</v>
      </c>
      <c r="H3" s="3">
        <v>180</v>
      </c>
      <c r="I3" s="3">
        <v>295</v>
      </c>
      <c r="J3" s="3">
        <v>390</v>
      </c>
      <c r="K3" s="3">
        <v>375</v>
      </c>
      <c r="L3" s="3">
        <v>295</v>
      </c>
      <c r="M3" s="3">
        <f t="shared" ref="M3:M11" si="0">SUM(G3:L3)</f>
        <v>1635</v>
      </c>
      <c r="O3">
        <v>715</v>
      </c>
    </row>
    <row r="4" spans="1:15" x14ac:dyDescent="0.2">
      <c r="A4">
        <v>1</v>
      </c>
      <c r="B4">
        <v>3</v>
      </c>
      <c r="C4" s="5">
        <v>620</v>
      </c>
      <c r="F4" s="3">
        <v>3</v>
      </c>
      <c r="G4" s="3">
        <v>580</v>
      </c>
      <c r="H4" s="3">
        <v>925</v>
      </c>
      <c r="I4" s="3">
        <v>1270</v>
      </c>
      <c r="J4" s="3">
        <v>1330</v>
      </c>
      <c r="K4" s="3">
        <v>1040</v>
      </c>
      <c r="L4" s="3">
        <v>635</v>
      </c>
      <c r="M4" s="3">
        <f t="shared" si="0"/>
        <v>5780</v>
      </c>
      <c r="O4">
        <v>620</v>
      </c>
    </row>
    <row r="5" spans="1:15" x14ac:dyDescent="0.2">
      <c r="A5">
        <v>1</v>
      </c>
      <c r="B5">
        <v>4</v>
      </c>
      <c r="C5" s="5">
        <v>490</v>
      </c>
      <c r="F5" s="3">
        <v>4</v>
      </c>
      <c r="G5" s="3">
        <v>30</v>
      </c>
      <c r="H5" s="3">
        <v>60</v>
      </c>
      <c r="I5" s="3">
        <v>115</v>
      </c>
      <c r="J5" s="3">
        <v>195</v>
      </c>
      <c r="K5" s="3">
        <v>265</v>
      </c>
      <c r="L5" s="3">
        <v>310</v>
      </c>
      <c r="M5" s="3">
        <f t="shared" si="0"/>
        <v>975</v>
      </c>
      <c r="O5">
        <v>490</v>
      </c>
    </row>
    <row r="6" spans="1:15" x14ac:dyDescent="0.2">
      <c r="A6">
        <v>1</v>
      </c>
      <c r="B6">
        <v>5</v>
      </c>
      <c r="C6" s="5">
        <v>390</v>
      </c>
      <c r="F6" s="3">
        <v>5</v>
      </c>
      <c r="G6" s="3">
        <v>40</v>
      </c>
      <c r="H6" s="3">
        <v>75</v>
      </c>
      <c r="I6" s="3">
        <v>150</v>
      </c>
      <c r="J6" s="3">
        <v>250</v>
      </c>
      <c r="K6" s="3">
        <v>340</v>
      </c>
      <c r="L6" s="3">
        <v>405</v>
      </c>
      <c r="M6" s="3">
        <f t="shared" si="0"/>
        <v>1260</v>
      </c>
      <c r="O6">
        <v>390</v>
      </c>
    </row>
    <row r="7" spans="1:15" x14ac:dyDescent="0.2">
      <c r="A7">
        <v>1</v>
      </c>
      <c r="B7">
        <v>6</v>
      </c>
      <c r="C7" s="5">
        <v>260</v>
      </c>
      <c r="F7" s="3">
        <v>6</v>
      </c>
      <c r="G7" s="3">
        <v>120</v>
      </c>
      <c r="H7" s="3">
        <v>220</v>
      </c>
      <c r="I7" s="3">
        <v>360</v>
      </c>
      <c r="J7" s="3">
        <v>480</v>
      </c>
      <c r="K7" s="3">
        <v>460</v>
      </c>
      <c r="L7" s="3">
        <v>360</v>
      </c>
      <c r="M7" s="3">
        <f t="shared" si="0"/>
        <v>2000</v>
      </c>
      <c r="O7">
        <v>260</v>
      </c>
    </row>
    <row r="8" spans="1:15" x14ac:dyDescent="0.2">
      <c r="A8">
        <v>2</v>
      </c>
      <c r="B8">
        <v>1</v>
      </c>
      <c r="C8" s="5">
        <v>100</v>
      </c>
      <c r="F8" s="3">
        <v>7</v>
      </c>
      <c r="G8" s="3">
        <v>55</v>
      </c>
      <c r="H8" s="3">
        <v>105</v>
      </c>
      <c r="I8" s="3">
        <v>210</v>
      </c>
      <c r="J8" s="3">
        <v>355</v>
      </c>
      <c r="K8" s="3">
        <v>475</v>
      </c>
      <c r="L8" s="3">
        <v>565</v>
      </c>
      <c r="M8" s="3">
        <f t="shared" si="0"/>
        <v>1765</v>
      </c>
      <c r="O8">
        <v>100</v>
      </c>
    </row>
    <row r="9" spans="1:15" x14ac:dyDescent="0.2">
      <c r="A9">
        <v>2</v>
      </c>
      <c r="B9">
        <v>2</v>
      </c>
      <c r="C9" s="5">
        <v>180</v>
      </c>
      <c r="F9" s="3">
        <v>8</v>
      </c>
      <c r="G9" s="3">
        <v>635</v>
      </c>
      <c r="H9" s="3">
        <v>740</v>
      </c>
      <c r="I9" s="3">
        <v>775</v>
      </c>
      <c r="J9" s="3">
        <v>600</v>
      </c>
      <c r="K9" s="3">
        <v>460</v>
      </c>
      <c r="L9" s="3">
        <v>315</v>
      </c>
      <c r="M9" s="3">
        <f t="shared" si="0"/>
        <v>3525</v>
      </c>
      <c r="O9">
        <v>180</v>
      </c>
    </row>
    <row r="10" spans="1:15" x14ac:dyDescent="0.2">
      <c r="A10">
        <v>2</v>
      </c>
      <c r="B10">
        <v>3</v>
      </c>
      <c r="C10" s="5">
        <v>295</v>
      </c>
      <c r="F10" s="3">
        <v>9</v>
      </c>
      <c r="G10" s="3">
        <v>360</v>
      </c>
      <c r="H10" s="3">
        <v>575</v>
      </c>
      <c r="I10" s="3">
        <v>790</v>
      </c>
      <c r="J10" s="3">
        <v>825</v>
      </c>
      <c r="K10" s="3">
        <v>645</v>
      </c>
      <c r="L10" s="3">
        <v>395</v>
      </c>
      <c r="M10" s="3">
        <f t="shared" si="0"/>
        <v>3590</v>
      </c>
      <c r="O10">
        <v>295</v>
      </c>
    </row>
    <row r="11" spans="1:15" x14ac:dyDescent="0.2">
      <c r="A11">
        <v>2</v>
      </c>
      <c r="B11">
        <v>4</v>
      </c>
      <c r="C11" s="5">
        <v>390</v>
      </c>
      <c r="F11" s="3">
        <v>10</v>
      </c>
      <c r="G11" s="3">
        <v>55</v>
      </c>
      <c r="H11" s="3">
        <v>110</v>
      </c>
      <c r="I11" s="3">
        <v>215</v>
      </c>
      <c r="J11" s="3">
        <v>360</v>
      </c>
      <c r="K11" s="3">
        <v>485</v>
      </c>
      <c r="L11" s="3">
        <v>575</v>
      </c>
      <c r="M11" s="3">
        <f t="shared" si="0"/>
        <v>1800</v>
      </c>
      <c r="O11">
        <v>390</v>
      </c>
    </row>
    <row r="12" spans="1:15" x14ac:dyDescent="0.2">
      <c r="A12">
        <v>2</v>
      </c>
      <c r="B12">
        <v>5</v>
      </c>
      <c r="C12" s="5">
        <v>375</v>
      </c>
      <c r="O12">
        <v>375</v>
      </c>
    </row>
    <row r="13" spans="1:15" x14ac:dyDescent="0.2">
      <c r="A13">
        <v>2</v>
      </c>
      <c r="B13">
        <v>6</v>
      </c>
      <c r="C13" s="5">
        <v>295</v>
      </c>
      <c r="O13">
        <v>295</v>
      </c>
    </row>
    <row r="14" spans="1:15" x14ac:dyDescent="0.2">
      <c r="A14">
        <v>3</v>
      </c>
      <c r="B14">
        <v>1</v>
      </c>
      <c r="C14" s="5">
        <v>580</v>
      </c>
      <c r="O14">
        <v>580</v>
      </c>
    </row>
    <row r="15" spans="1:15" x14ac:dyDescent="0.2">
      <c r="A15">
        <v>3</v>
      </c>
      <c r="B15">
        <v>2</v>
      </c>
      <c r="C15" s="5">
        <v>925</v>
      </c>
      <c r="F15" s="3"/>
      <c r="G15" s="3"/>
      <c r="H15" s="3"/>
      <c r="I15" s="3"/>
      <c r="J15" s="3"/>
      <c r="K15" s="3"/>
      <c r="L15" s="3"/>
      <c r="M15" s="3"/>
      <c r="O15">
        <v>925</v>
      </c>
    </row>
    <row r="16" spans="1:15" x14ac:dyDescent="0.2">
      <c r="A16">
        <v>3</v>
      </c>
      <c r="B16">
        <v>3</v>
      </c>
      <c r="C16" s="5">
        <v>1270</v>
      </c>
      <c r="O16">
        <v>1270</v>
      </c>
    </row>
    <row r="17" spans="1:15" x14ac:dyDescent="0.2">
      <c r="A17">
        <v>3</v>
      </c>
      <c r="B17">
        <v>4</v>
      </c>
      <c r="C17" s="5">
        <v>1330</v>
      </c>
      <c r="O17">
        <v>1330</v>
      </c>
    </row>
    <row r="18" spans="1:15" x14ac:dyDescent="0.2">
      <c r="A18">
        <v>3</v>
      </c>
      <c r="B18">
        <v>5</v>
      </c>
      <c r="C18" s="5">
        <v>1040</v>
      </c>
      <c r="O18">
        <v>1040</v>
      </c>
    </row>
    <row r="19" spans="1:15" x14ac:dyDescent="0.2">
      <c r="A19">
        <v>3</v>
      </c>
      <c r="B19">
        <v>6</v>
      </c>
      <c r="C19" s="5">
        <v>635</v>
      </c>
      <c r="O19">
        <v>635</v>
      </c>
    </row>
    <row r="20" spans="1:15" x14ac:dyDescent="0.2">
      <c r="A20">
        <v>4</v>
      </c>
      <c r="B20">
        <v>1</v>
      </c>
      <c r="C20" s="5">
        <v>30</v>
      </c>
      <c r="O20">
        <v>30</v>
      </c>
    </row>
    <row r="21" spans="1:15" x14ac:dyDescent="0.2">
      <c r="A21">
        <v>4</v>
      </c>
      <c r="B21">
        <v>2</v>
      </c>
      <c r="C21" s="5">
        <v>60</v>
      </c>
      <c r="O21">
        <v>60</v>
      </c>
    </row>
    <row r="22" spans="1:15" x14ac:dyDescent="0.2">
      <c r="A22">
        <v>4</v>
      </c>
      <c r="B22">
        <v>3</v>
      </c>
      <c r="C22" s="5">
        <v>115</v>
      </c>
      <c r="O22">
        <v>115</v>
      </c>
    </row>
    <row r="23" spans="1:15" x14ac:dyDescent="0.2">
      <c r="A23">
        <v>4</v>
      </c>
      <c r="B23">
        <v>4</v>
      </c>
      <c r="C23" s="5">
        <v>195</v>
      </c>
      <c r="O23">
        <v>195</v>
      </c>
    </row>
    <row r="24" spans="1:15" x14ac:dyDescent="0.2">
      <c r="A24">
        <v>4</v>
      </c>
      <c r="B24">
        <v>5</v>
      </c>
      <c r="C24" s="5">
        <v>265</v>
      </c>
      <c r="O24">
        <v>265</v>
      </c>
    </row>
    <row r="25" spans="1:15" x14ac:dyDescent="0.2">
      <c r="A25">
        <v>4</v>
      </c>
      <c r="B25">
        <v>6</v>
      </c>
      <c r="C25" s="5">
        <v>310</v>
      </c>
      <c r="O25">
        <v>310</v>
      </c>
    </row>
    <row r="26" spans="1:15" x14ac:dyDescent="0.2">
      <c r="A26">
        <v>5</v>
      </c>
      <c r="B26">
        <v>1</v>
      </c>
      <c r="C26" s="5">
        <v>40</v>
      </c>
      <c r="O26">
        <v>40</v>
      </c>
    </row>
    <row r="27" spans="1:15" x14ac:dyDescent="0.2">
      <c r="A27">
        <v>5</v>
      </c>
      <c r="B27">
        <v>2</v>
      </c>
      <c r="C27" s="5">
        <v>75</v>
      </c>
      <c r="O27">
        <v>75</v>
      </c>
    </row>
    <row r="28" spans="1:15" x14ac:dyDescent="0.2">
      <c r="A28">
        <v>5</v>
      </c>
      <c r="B28">
        <v>3</v>
      </c>
      <c r="C28" s="5">
        <v>150</v>
      </c>
      <c r="O28">
        <v>150</v>
      </c>
    </row>
    <row r="29" spans="1:15" x14ac:dyDescent="0.2">
      <c r="A29">
        <v>5</v>
      </c>
      <c r="B29">
        <v>4</v>
      </c>
      <c r="C29" s="5">
        <v>250</v>
      </c>
      <c r="O29">
        <v>250</v>
      </c>
    </row>
    <row r="30" spans="1:15" x14ac:dyDescent="0.2">
      <c r="A30">
        <v>5</v>
      </c>
      <c r="B30">
        <v>5</v>
      </c>
      <c r="C30" s="5">
        <v>340</v>
      </c>
      <c r="O30">
        <v>340</v>
      </c>
    </row>
    <row r="31" spans="1:15" x14ac:dyDescent="0.2">
      <c r="A31">
        <v>5</v>
      </c>
      <c r="B31">
        <v>6</v>
      </c>
      <c r="C31" s="5">
        <v>405</v>
      </c>
      <c r="O31">
        <v>405</v>
      </c>
    </row>
    <row r="32" spans="1:15" x14ac:dyDescent="0.2">
      <c r="A32">
        <v>6</v>
      </c>
      <c r="B32">
        <v>1</v>
      </c>
      <c r="C32" s="5">
        <v>120</v>
      </c>
      <c r="O32">
        <v>120</v>
      </c>
    </row>
    <row r="33" spans="1:15" x14ac:dyDescent="0.2">
      <c r="A33">
        <v>6</v>
      </c>
      <c r="B33">
        <v>2</v>
      </c>
      <c r="C33" s="5">
        <v>220</v>
      </c>
      <c r="O33">
        <v>220</v>
      </c>
    </row>
    <row r="34" spans="1:15" x14ac:dyDescent="0.2">
      <c r="A34">
        <v>6</v>
      </c>
      <c r="B34">
        <v>3</v>
      </c>
      <c r="C34" s="5">
        <v>360</v>
      </c>
      <c r="O34">
        <v>360</v>
      </c>
    </row>
    <row r="35" spans="1:15" x14ac:dyDescent="0.2">
      <c r="A35">
        <v>6</v>
      </c>
      <c r="B35">
        <v>4</v>
      </c>
      <c r="C35" s="5">
        <v>480</v>
      </c>
      <c r="O35">
        <v>480</v>
      </c>
    </row>
    <row r="36" spans="1:15" x14ac:dyDescent="0.2">
      <c r="A36">
        <v>6</v>
      </c>
      <c r="B36">
        <v>5</v>
      </c>
      <c r="C36" s="5">
        <v>460</v>
      </c>
      <c r="O36">
        <v>460</v>
      </c>
    </row>
    <row r="37" spans="1:15" x14ac:dyDescent="0.2">
      <c r="A37">
        <v>6</v>
      </c>
      <c r="B37">
        <v>6</v>
      </c>
      <c r="C37" s="5">
        <v>360</v>
      </c>
      <c r="O37">
        <v>360</v>
      </c>
    </row>
    <row r="38" spans="1:15" x14ac:dyDescent="0.2">
      <c r="A38">
        <v>7</v>
      </c>
      <c r="B38">
        <v>1</v>
      </c>
      <c r="C38" s="5">
        <v>55</v>
      </c>
      <c r="O38">
        <v>55</v>
      </c>
    </row>
    <row r="39" spans="1:15" x14ac:dyDescent="0.2">
      <c r="A39">
        <v>7</v>
      </c>
      <c r="B39">
        <v>2</v>
      </c>
      <c r="C39" s="5">
        <v>105</v>
      </c>
      <c r="O39">
        <v>105</v>
      </c>
    </row>
    <row r="40" spans="1:15" x14ac:dyDescent="0.2">
      <c r="A40">
        <v>7</v>
      </c>
      <c r="B40">
        <v>3</v>
      </c>
      <c r="C40" s="5">
        <v>210</v>
      </c>
      <c r="O40">
        <v>210</v>
      </c>
    </row>
    <row r="41" spans="1:15" x14ac:dyDescent="0.2">
      <c r="A41">
        <v>7</v>
      </c>
      <c r="B41">
        <v>4</v>
      </c>
      <c r="C41" s="5">
        <v>355</v>
      </c>
      <c r="O41">
        <v>355</v>
      </c>
    </row>
    <row r="42" spans="1:15" x14ac:dyDescent="0.2">
      <c r="A42">
        <v>7</v>
      </c>
      <c r="B42">
        <v>5</v>
      </c>
      <c r="C42" s="5">
        <v>475</v>
      </c>
      <c r="O42">
        <v>475</v>
      </c>
    </row>
    <row r="43" spans="1:15" x14ac:dyDescent="0.2">
      <c r="A43">
        <v>7</v>
      </c>
      <c r="B43">
        <v>6</v>
      </c>
      <c r="C43" s="5">
        <v>565</v>
      </c>
      <c r="O43">
        <v>565</v>
      </c>
    </row>
    <row r="44" spans="1:15" x14ac:dyDescent="0.2">
      <c r="A44">
        <v>8</v>
      </c>
      <c r="B44">
        <v>1</v>
      </c>
      <c r="C44" s="5">
        <v>635</v>
      </c>
      <c r="O44">
        <v>635</v>
      </c>
    </row>
    <row r="45" spans="1:15" x14ac:dyDescent="0.2">
      <c r="A45">
        <v>8</v>
      </c>
      <c r="B45">
        <v>2</v>
      </c>
      <c r="C45" s="5">
        <v>740</v>
      </c>
      <c r="O45">
        <v>740</v>
      </c>
    </row>
    <row r="46" spans="1:15" x14ac:dyDescent="0.2">
      <c r="A46">
        <v>8</v>
      </c>
      <c r="B46">
        <v>3</v>
      </c>
      <c r="C46" s="5">
        <v>775</v>
      </c>
      <c r="O46">
        <v>775</v>
      </c>
    </row>
    <row r="47" spans="1:15" x14ac:dyDescent="0.2">
      <c r="A47">
        <v>8</v>
      </c>
      <c r="B47">
        <v>4</v>
      </c>
      <c r="C47" s="5">
        <v>600</v>
      </c>
      <c r="O47">
        <v>600</v>
      </c>
    </row>
    <row r="48" spans="1:15" x14ac:dyDescent="0.2">
      <c r="A48">
        <v>8</v>
      </c>
      <c r="B48">
        <v>5</v>
      </c>
      <c r="C48" s="5">
        <v>460</v>
      </c>
      <c r="O48">
        <v>460</v>
      </c>
    </row>
    <row r="49" spans="1:15" x14ac:dyDescent="0.2">
      <c r="A49">
        <v>8</v>
      </c>
      <c r="B49">
        <v>6</v>
      </c>
      <c r="C49" s="5">
        <v>315</v>
      </c>
      <c r="O49">
        <v>315</v>
      </c>
    </row>
    <row r="50" spans="1:15" x14ac:dyDescent="0.2">
      <c r="A50">
        <v>9</v>
      </c>
      <c r="B50">
        <v>1</v>
      </c>
      <c r="C50" s="5">
        <v>360</v>
      </c>
      <c r="O50">
        <v>360</v>
      </c>
    </row>
    <row r="51" spans="1:15" x14ac:dyDescent="0.2">
      <c r="A51">
        <v>9</v>
      </c>
      <c r="B51">
        <v>2</v>
      </c>
      <c r="C51" s="5">
        <v>575</v>
      </c>
      <c r="O51">
        <v>575</v>
      </c>
    </row>
    <row r="52" spans="1:15" x14ac:dyDescent="0.2">
      <c r="A52">
        <v>9</v>
      </c>
      <c r="B52">
        <v>3</v>
      </c>
      <c r="C52" s="5">
        <v>790</v>
      </c>
      <c r="O52">
        <v>790</v>
      </c>
    </row>
    <row r="53" spans="1:15" x14ac:dyDescent="0.2">
      <c r="A53">
        <v>9</v>
      </c>
      <c r="B53">
        <v>4</v>
      </c>
      <c r="C53" s="5">
        <v>825</v>
      </c>
      <c r="O53">
        <v>825</v>
      </c>
    </row>
    <row r="54" spans="1:15" x14ac:dyDescent="0.2">
      <c r="A54">
        <v>9</v>
      </c>
      <c r="B54">
        <v>5</v>
      </c>
      <c r="C54" s="5">
        <v>645</v>
      </c>
      <c r="O54">
        <v>645</v>
      </c>
    </row>
    <row r="55" spans="1:15" x14ac:dyDescent="0.2">
      <c r="A55">
        <v>9</v>
      </c>
      <c r="B55">
        <v>6</v>
      </c>
      <c r="C55" s="5">
        <v>395</v>
      </c>
      <c r="O55">
        <v>395</v>
      </c>
    </row>
    <row r="56" spans="1:15" x14ac:dyDescent="0.2">
      <c r="A56">
        <v>10</v>
      </c>
      <c r="B56">
        <v>1</v>
      </c>
      <c r="C56" s="5">
        <v>55</v>
      </c>
      <c r="O56">
        <v>55</v>
      </c>
    </row>
    <row r="57" spans="1:15" x14ac:dyDescent="0.2">
      <c r="A57">
        <v>10</v>
      </c>
      <c r="B57">
        <v>2</v>
      </c>
      <c r="C57" s="5">
        <v>110</v>
      </c>
      <c r="O57">
        <v>110</v>
      </c>
    </row>
    <row r="58" spans="1:15" x14ac:dyDescent="0.2">
      <c r="A58">
        <v>10</v>
      </c>
      <c r="B58">
        <v>3</v>
      </c>
      <c r="C58" s="5">
        <v>215</v>
      </c>
      <c r="O58">
        <v>215</v>
      </c>
    </row>
    <row r="59" spans="1:15" x14ac:dyDescent="0.2">
      <c r="A59">
        <v>10</v>
      </c>
      <c r="B59">
        <v>4</v>
      </c>
      <c r="C59" s="5">
        <v>360</v>
      </c>
      <c r="O59">
        <v>360</v>
      </c>
    </row>
    <row r="60" spans="1:15" x14ac:dyDescent="0.2">
      <c r="A60">
        <v>10</v>
      </c>
      <c r="B60">
        <v>5</v>
      </c>
      <c r="C60" s="5">
        <v>485</v>
      </c>
      <c r="O60">
        <v>485</v>
      </c>
    </row>
    <row r="61" spans="1:15" x14ac:dyDescent="0.2">
      <c r="A61">
        <v>10</v>
      </c>
      <c r="B61">
        <v>6</v>
      </c>
      <c r="C61" s="5">
        <v>575</v>
      </c>
      <c r="O61">
        <v>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8" x14ac:dyDescent="0.2">
      <c r="A1" s="2" t="s">
        <v>50</v>
      </c>
      <c r="B1" s="2" t="s">
        <v>51</v>
      </c>
      <c r="C1" s="2" t="s">
        <v>52</v>
      </c>
      <c r="D1" s="2" t="s">
        <v>53</v>
      </c>
    </row>
    <row r="2" spans="1:8" x14ac:dyDescent="0.2">
      <c r="A2" s="3">
        <v>0</v>
      </c>
      <c r="B2" s="3">
        <v>38.5002</v>
      </c>
      <c r="C2" s="3">
        <v>27.708400000000001</v>
      </c>
      <c r="D2" s="3" t="s">
        <v>99</v>
      </c>
      <c r="H2" t="s">
        <v>113</v>
      </c>
    </row>
    <row r="3" spans="1:8" x14ac:dyDescent="0.2">
      <c r="A3" s="3">
        <v>1</v>
      </c>
      <c r="B3" s="3">
        <v>38.515000000000001</v>
      </c>
      <c r="C3" s="3">
        <v>27.585000000000001</v>
      </c>
      <c r="D3" s="3" t="s">
        <v>102</v>
      </c>
    </row>
    <row r="4" spans="1:8" x14ac:dyDescent="0.2">
      <c r="A4" s="3">
        <v>2</v>
      </c>
      <c r="B4" s="3">
        <v>38.524999999999999</v>
      </c>
      <c r="C4" s="3">
        <v>27.914999999999999</v>
      </c>
      <c r="D4" s="3" t="s">
        <v>103</v>
      </c>
    </row>
    <row r="5" spans="1:8" x14ac:dyDescent="0.2">
      <c r="A5" s="3">
        <v>3</v>
      </c>
      <c r="B5" s="3">
        <v>38.488</v>
      </c>
      <c r="C5" s="3">
        <v>28.05</v>
      </c>
      <c r="D5" s="3" t="s">
        <v>100</v>
      </c>
    </row>
    <row r="6" spans="1:8" x14ac:dyDescent="0.2">
      <c r="A6" s="3">
        <v>4</v>
      </c>
      <c r="B6" s="3">
        <v>38.384999999999998</v>
      </c>
      <c r="C6" s="3">
        <v>28.465</v>
      </c>
      <c r="D6" s="3" t="s">
        <v>104</v>
      </c>
    </row>
    <row r="7" spans="1:8" x14ac:dyDescent="0.2">
      <c r="A7" s="3">
        <v>5</v>
      </c>
      <c r="B7" s="3">
        <v>38.22</v>
      </c>
      <c r="C7" s="3">
        <v>28.69</v>
      </c>
      <c r="D7" s="3" t="s">
        <v>105</v>
      </c>
    </row>
    <row r="8" spans="1:8" x14ac:dyDescent="0.2">
      <c r="A8" s="3">
        <v>6</v>
      </c>
      <c r="B8" s="3">
        <v>39.119999999999997</v>
      </c>
      <c r="C8" s="3">
        <v>27.66</v>
      </c>
      <c r="D8" s="3" t="s">
        <v>106</v>
      </c>
    </row>
    <row r="9" spans="1:8" x14ac:dyDescent="0.2">
      <c r="A9" s="3">
        <v>7</v>
      </c>
      <c r="B9" s="3">
        <v>39.090000000000003</v>
      </c>
      <c r="C9" s="3">
        <v>27.37</v>
      </c>
      <c r="D9" s="3" t="s">
        <v>107</v>
      </c>
    </row>
    <row r="10" spans="1:8" x14ac:dyDescent="0.2">
      <c r="A10" s="3">
        <v>8</v>
      </c>
      <c r="B10" s="3">
        <v>38.61</v>
      </c>
      <c r="C10" s="3">
        <v>27.07</v>
      </c>
      <c r="D10" s="3" t="s">
        <v>101</v>
      </c>
    </row>
    <row r="11" spans="1:8" x14ac:dyDescent="0.2">
      <c r="A11" s="3">
        <v>9</v>
      </c>
      <c r="B11" s="3">
        <v>38.17</v>
      </c>
      <c r="C11" s="3">
        <v>27.36</v>
      </c>
      <c r="D11" s="3" t="s">
        <v>108</v>
      </c>
    </row>
    <row r="12" spans="1:8" x14ac:dyDescent="0.2">
      <c r="A12" s="3">
        <v>10</v>
      </c>
      <c r="B12" s="3">
        <v>38.22</v>
      </c>
      <c r="C12" s="3">
        <v>28.02</v>
      </c>
      <c r="D12" s="3" t="s">
        <v>109</v>
      </c>
    </row>
    <row r="13" spans="1:8" x14ac:dyDescent="0.2">
      <c r="A13" s="3">
        <v>11</v>
      </c>
      <c r="B13" s="3">
        <v>38.9</v>
      </c>
      <c r="C13" s="3">
        <v>27.7</v>
      </c>
      <c r="D13" s="3" t="s">
        <v>111</v>
      </c>
    </row>
    <row r="14" spans="1:8" x14ac:dyDescent="0.2">
      <c r="A14" s="3">
        <v>12</v>
      </c>
      <c r="B14" s="3">
        <v>38.15</v>
      </c>
      <c r="C14" s="3">
        <v>27.65</v>
      </c>
      <c r="D14" s="3" t="s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A268-DAF6-6F4E-9FD0-F588CA38946C}">
  <dimension ref="A1:D1"/>
  <sheetViews>
    <sheetView workbookViewId="0">
      <selection sqref="A1:XFD1"/>
    </sheetView>
  </sheetViews>
  <sheetFormatPr baseColWidth="10" defaultRowHeight="15" x14ac:dyDescent="0.2"/>
  <sheetData>
    <row r="1" spans="1:4" x14ac:dyDescent="0.2">
      <c r="A1" s="3">
        <v>11</v>
      </c>
      <c r="B1" s="3">
        <v>38.53</v>
      </c>
      <c r="C1" s="3">
        <v>28.05</v>
      </c>
      <c r="D1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Instructions</vt:lpstr>
      <vt:lpstr>Dimensions</vt:lpstr>
      <vt:lpstr>Scenarios</vt:lpstr>
      <vt:lpstr>Vehicles</vt:lpstr>
      <vt:lpstr>Farmers</vt:lpstr>
      <vt:lpstr>Harvest</vt:lpstr>
      <vt:lpstr>Coordinates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2026-07-01T10:37:40Z</dcterms:created>
  <dcterms:modified xsi:type="dcterms:W3CDTF">2026-07-24T11:26:17Z</dcterms:modified>
</cp:coreProperties>
</file>