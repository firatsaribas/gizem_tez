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izem\OneDrive\Masaüstü\Tez CPLEX sonuç\2.kısım\"/>
    </mc:Choice>
  </mc:AlternateContent>
  <xr:revisionPtr revIDLastSave="0" documentId="13_ncr:1_{58D2FED4-5803-4C42-9797-94EFC840D85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structions" sheetId="1" r:id="rId1"/>
    <sheet name="Dimensions" sheetId="2" r:id="rId2"/>
    <sheet name="Scenarios" sheetId="3" r:id="rId3"/>
    <sheet name="Vehicles" sheetId="4" r:id="rId4"/>
    <sheet name="Farmers" sheetId="5" r:id="rId5"/>
    <sheet name="Harvest" sheetId="6" r:id="rId6"/>
    <sheet name="Coordinates" sheetId="7" r:id="rId7"/>
  </sheets>
  <definedNames>
    <definedName name="_xlnm._FilterDatabase" localSheetId="5" hidden="1">Harvest!$A$1:$C$61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2" i="6"/>
</calcChain>
</file>

<file path=xl/sharedStrings.xml><?xml version="1.0" encoding="utf-8"?>
<sst xmlns="http://schemas.openxmlformats.org/spreadsheetml/2006/main" count="57" uniqueCount="55">
  <si>
    <t>HOW TO USE THIS FILE</t>
  </si>
  <si>
    <t>1. DIMENSIONS: set nF, nK, nT, nS.</t>
  </si>
  <si>
    <t>2. SCENARIOS: enter d_s and rho_s (probabilities must sum to 1).</t>
  </si>
  <si>
    <t>3. VEHICLES: one row per vehicle k with capacity q_k (kg). Match nK.</t>
  </si>
  <si>
    <t>4. FARMERS: one row per farmer — r_price (EUR/kg), alpha (EUR/visit), a0 (kg). Match nF.</t>
  </si>
  <si>
    <t>5. HARVEST: one row per farmer-period pair — g_it (kg). Must have nF × nT rows.</t>
  </si>
  <si>
    <t>6. COORDINATES: lat/lon for all nodes (hub=0, farmers=1..nF, origins=nF+1..nF+nK).</t>
  </si>
  <si>
    <t xml:space="preserve">   Leave empty to auto-generate from seed=42.</t>
  </si>
  <si>
    <t>Blue cells are editable inputs. Do not rename sheets or change column headers.</t>
  </si>
  <si>
    <t>BASE CASE SETTINGS (nF=10, nK=2, q=3500 kg):</t>
  </si>
  <si>
    <t xml:space="preserve">  Harvest quantities are scaled so that the two-vehicle fleet (7000 kg/period)</t>
  </si>
  <si>
    <t xml:space="preserve">  covers approximately 108% of the average total harvest per period.</t>
  </si>
  <si>
    <t xml:space="preserve">  This ensures all farmers are served in most periods while generating</t>
  </si>
  <si>
    <t xml:space="preserve">  meaningful routing and capacity decisions.</t>
  </si>
  <si>
    <t>Parameter</t>
  </si>
  <si>
    <t>Value</t>
  </si>
  <si>
    <t>Description</t>
  </si>
  <si>
    <t>nF</t>
  </si>
  <si>
    <t>Number of farmers</t>
  </si>
  <si>
    <t>nK</t>
  </si>
  <si>
    <t>Number of vehicles</t>
  </si>
  <si>
    <t>nT</t>
  </si>
  <si>
    <t>Number of periods</t>
  </si>
  <si>
    <t>nS</t>
  </si>
  <si>
    <t>Number of scenarios</t>
  </si>
  <si>
    <t>s</t>
  </si>
  <si>
    <t>d_s (deterioration rate)</t>
  </si>
  <si>
    <t>rho_s (probability)</t>
  </si>
  <si>
    <t>k</t>
  </si>
  <si>
    <t>q_k (kg)</t>
  </si>
  <si>
    <t>Weight-limited pickup truck payload</t>
  </si>
  <si>
    <t>i</t>
  </si>
  <si>
    <t>r_price (EUR/kg)</t>
  </si>
  <si>
    <t>alpha (EUR/visit)</t>
  </si>
  <si>
    <t>a0 (kg)</t>
  </si>
  <si>
    <t>i (farmer)</t>
  </si>
  <si>
    <t>t (period)</t>
  </si>
  <si>
    <t>g_it (kg)</t>
  </si>
  <si>
    <t>node</t>
  </si>
  <si>
    <t>lat</t>
  </si>
  <si>
    <t>lon</t>
  </si>
  <si>
    <t>type</t>
  </si>
  <si>
    <t>hub</t>
  </si>
  <si>
    <t>farmer 1</t>
  </si>
  <si>
    <t>farmer 2</t>
  </si>
  <si>
    <t>farmer 3</t>
  </si>
  <si>
    <t>farmer 4</t>
  </si>
  <si>
    <t>farmer 5</t>
  </si>
  <si>
    <t>farmer 6</t>
  </si>
  <si>
    <t>farmer 7</t>
  </si>
  <si>
    <t>farmer 8</t>
  </si>
  <si>
    <t>farmer 9</t>
  </si>
  <si>
    <t>farmer 10</t>
  </si>
  <si>
    <t>origin 1</t>
  </si>
  <si>
    <t>origin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</si>
</sst>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162"/>
    </font>
    <font>
      <b/>
      <sz val="11"/>
      <name val="Calibri"/>
      <family val="2"/>
      <charset val="162"/>
    </font>
    <font>
      <b/>
      <sz val="11"/>
      <color rgb="FFFFFFFF"/>
      <name val="Calibri"/>
      <family val="2"/>
      <charset val="162"/>
    </font>
    <font>
      <sz val="10"/>
      <color rgb="FF0000FF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DEE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/>
  </sheetViews>
  <sheetFormatPr defaultRowHeight="15" x14ac:dyDescent="0.25"/>
  <cols>
    <col min="1" max="1" width="72" customWidth="1"/>
  </cols>
  <sheetData>
    <row r="1" spans="1:1" ht="17.25" x14ac:dyDescent="0.3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t="s">
        <v>7</v>
      </c>
    </row>
    <row r="11" spans="1:1" x14ac:dyDescent="0.25">
      <c r="A11" t="s">
        <v>8</v>
      </c>
    </row>
    <row r="13" spans="1:1" x14ac:dyDescent="0.25">
      <c r="A13" s="2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34" customWidth="1"/>
  </cols>
  <sheetData>
    <row r="1" spans="1:3" x14ac:dyDescent="0.25">
      <c r="A1" s="3" t="s">
        <v>14</v>
      </c>
      <c r="B1" s="3" t="s">
        <v>15</v>
      </c>
      <c r="C1" s="3" t="s">
        <v>16</v>
      </c>
    </row>
    <row r="2" spans="1:3" x14ac:dyDescent="0.25">
      <c r="A2" s="4" t="s">
        <v>17</v>
      </c>
      <c r="B2" s="5">
        <v>10</v>
      </c>
      <c r="C2" s="4" t="s">
        <v>18</v>
      </c>
    </row>
    <row r="3" spans="1:3" x14ac:dyDescent="0.25">
      <c r="A3" s="4" t="s">
        <v>19</v>
      </c>
      <c r="B3" s="5">
        <v>2</v>
      </c>
      <c r="C3" s="4" t="s">
        <v>20</v>
      </c>
    </row>
    <row r="4" spans="1:3" x14ac:dyDescent="0.25">
      <c r="A4" s="4" t="s">
        <v>21</v>
      </c>
      <c r="B4" s="5">
        <v>6</v>
      </c>
      <c r="C4" s="4" t="s">
        <v>22</v>
      </c>
    </row>
    <row r="5" spans="1:3" x14ac:dyDescent="0.25">
      <c r="A5" s="4" t="s">
        <v>23</v>
      </c>
      <c r="B5" s="5">
        <v>3</v>
      </c>
      <c r="C5" s="4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5" sqref="B5"/>
    </sheetView>
  </sheetViews>
  <sheetFormatPr defaultRowHeight="15" x14ac:dyDescent="0.25"/>
  <cols>
    <col min="1" max="3" width="28" customWidth="1"/>
  </cols>
  <sheetData>
    <row r="1" spans="1:3" x14ac:dyDescent="0.25">
      <c r="A1" s="3" t="s">
        <v>25</v>
      </c>
      <c r="B1" s="3" t="s">
        <v>26</v>
      </c>
      <c r="C1" s="3" t="s">
        <v>27</v>
      </c>
    </row>
    <row r="2" spans="1:3" x14ac:dyDescent="0.25">
      <c r="A2" s="6">
        <v>1</v>
      </c>
      <c r="B2" s="5">
        <v>0.02</v>
      </c>
      <c r="C2" s="5">
        <v>0.3</v>
      </c>
    </row>
    <row r="3" spans="1:3" x14ac:dyDescent="0.25">
      <c r="A3" s="6">
        <v>2</v>
      </c>
      <c r="B3" s="5">
        <v>0.05</v>
      </c>
      <c r="C3" s="5">
        <v>0.5</v>
      </c>
    </row>
    <row r="4" spans="1:3" x14ac:dyDescent="0.25">
      <c r="A4" s="6">
        <v>3</v>
      </c>
      <c r="B4" s="5">
        <v>0.1</v>
      </c>
      <c r="C4" s="5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tabSelected="1" workbookViewId="0"/>
  </sheetViews>
  <sheetFormatPr defaultRowHeight="15" x14ac:dyDescent="0.25"/>
  <cols>
    <col min="1" max="1" width="8" customWidth="1"/>
    <col min="2" max="2" width="16" customWidth="1"/>
    <col min="3" max="3" width="40" customWidth="1"/>
  </cols>
  <sheetData>
    <row r="1" spans="1:3" x14ac:dyDescent="0.25">
      <c r="A1" s="3" t="s">
        <v>28</v>
      </c>
      <c r="B1" s="3" t="s">
        <v>29</v>
      </c>
      <c r="C1" s="3" t="s">
        <v>16</v>
      </c>
    </row>
    <row r="2" spans="1:3" x14ac:dyDescent="0.25">
      <c r="A2" s="6">
        <v>1</v>
      </c>
      <c r="B2" s="5">
        <v>3500</v>
      </c>
      <c r="C2" s="4" t="s">
        <v>30</v>
      </c>
    </row>
    <row r="3" spans="1:3" x14ac:dyDescent="0.25">
      <c r="A3" s="6">
        <v>2</v>
      </c>
      <c r="B3" s="5">
        <v>3500</v>
      </c>
      <c r="C3" s="4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D29" sqref="D29"/>
    </sheetView>
  </sheetViews>
  <sheetFormatPr defaultRowHeight="15" x14ac:dyDescent="0.25"/>
  <cols>
    <col min="1" max="4" width="22" customWidth="1"/>
  </cols>
  <sheetData>
    <row r="1" spans="1:4" x14ac:dyDescent="0.25">
      <c r="A1" s="3" t="s">
        <v>31</v>
      </c>
      <c r="B1" s="3" t="s">
        <v>32</v>
      </c>
      <c r="C1" s="3" t="s">
        <v>33</v>
      </c>
      <c r="D1" s="3" t="s">
        <v>34</v>
      </c>
    </row>
    <row r="2" spans="1:4" x14ac:dyDescent="0.25">
      <c r="A2" s="6">
        <v>1</v>
      </c>
      <c r="B2" s="5">
        <v>0.157</v>
      </c>
      <c r="C2" s="5">
        <v>4.66</v>
      </c>
      <c r="D2" s="5">
        <v>100</v>
      </c>
    </row>
    <row r="3" spans="1:4" x14ac:dyDescent="0.25">
      <c r="A3" s="6">
        <v>2</v>
      </c>
      <c r="B3" s="5">
        <v>0.1265</v>
      </c>
      <c r="C3" s="5">
        <v>5.52</v>
      </c>
      <c r="D3" s="5">
        <v>100</v>
      </c>
    </row>
    <row r="4" spans="1:4" x14ac:dyDescent="0.25">
      <c r="A4" s="6">
        <v>3</v>
      </c>
      <c r="B4" s="5">
        <v>7.4999999999999997E-2</v>
      </c>
      <c r="C4" s="5">
        <v>20</v>
      </c>
      <c r="D4" s="5">
        <v>40</v>
      </c>
    </row>
    <row r="5" spans="1:4" x14ac:dyDescent="0.25">
      <c r="A5" s="6">
        <v>4</v>
      </c>
      <c r="B5" s="5">
        <v>0.13600000000000001</v>
      </c>
      <c r="C5" s="5">
        <v>4.5999999999999996</v>
      </c>
      <c r="D5" s="5">
        <v>120</v>
      </c>
    </row>
    <row r="6" spans="1:4" x14ac:dyDescent="0.25">
      <c r="A6" s="6">
        <v>5</v>
      </c>
      <c r="B6" s="5">
        <v>0.16200000000000001</v>
      </c>
      <c r="C6" s="5">
        <v>5.95</v>
      </c>
      <c r="D6" s="5">
        <v>120</v>
      </c>
    </row>
    <row r="7" spans="1:4" x14ac:dyDescent="0.25">
      <c r="A7" s="6">
        <v>6</v>
      </c>
      <c r="B7" s="5">
        <v>0.159</v>
      </c>
      <c r="C7" s="5">
        <v>5.63</v>
      </c>
      <c r="D7" s="5">
        <v>100</v>
      </c>
    </row>
    <row r="8" spans="1:4" x14ac:dyDescent="0.25">
      <c r="A8" s="6">
        <v>7</v>
      </c>
      <c r="B8" s="5">
        <v>0.16950000000000001</v>
      </c>
      <c r="C8" s="5">
        <v>4.66</v>
      </c>
      <c r="D8" s="5">
        <v>80</v>
      </c>
    </row>
    <row r="9" spans="1:4" x14ac:dyDescent="0.25">
      <c r="A9" s="6">
        <v>8</v>
      </c>
      <c r="B9" s="5">
        <v>0.1295</v>
      </c>
      <c r="C9" s="5">
        <v>5.77</v>
      </c>
      <c r="D9" s="5">
        <v>120</v>
      </c>
    </row>
    <row r="10" spans="1:4" x14ac:dyDescent="0.25">
      <c r="A10" s="6">
        <v>9</v>
      </c>
      <c r="B10" s="5">
        <v>0.14599999999999999</v>
      </c>
      <c r="C10" s="5">
        <v>6.43</v>
      </c>
      <c r="D10" s="5">
        <v>100</v>
      </c>
    </row>
    <row r="11" spans="1:4" x14ac:dyDescent="0.25">
      <c r="A11" s="6">
        <v>10</v>
      </c>
      <c r="B11" s="5">
        <v>7.0000000000000007E-2</v>
      </c>
      <c r="C11" s="5">
        <v>20</v>
      </c>
      <c r="D11" s="5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workbookViewId="0">
      <selection activeCell="C62" sqref="C62"/>
    </sheetView>
  </sheetViews>
  <sheetFormatPr defaultRowHeight="15" x14ac:dyDescent="0.25"/>
  <cols>
    <col min="1" max="3" width="18" customWidth="1"/>
  </cols>
  <sheetData>
    <row r="1" spans="1:5" x14ac:dyDescent="0.25">
      <c r="A1" s="3" t="s">
        <v>35</v>
      </c>
      <c r="B1" s="3" t="s">
        <v>36</v>
      </c>
      <c r="C1" s="3" t="s">
        <v>37</v>
      </c>
    </row>
    <row r="2" spans="1:5" x14ac:dyDescent="0.25">
      <c r="A2" s="6">
        <v>1</v>
      </c>
      <c r="B2" s="6">
        <v>1</v>
      </c>
      <c r="C2" s="7">
        <v>540</v>
      </c>
      <c r="E2">
        <f>MIN(C2:C61)</f>
        <v>140</v>
      </c>
    </row>
    <row r="3" spans="1:5" x14ac:dyDescent="0.25">
      <c r="A3" s="6">
        <v>1</v>
      </c>
      <c r="B3" s="6">
        <v>2</v>
      </c>
      <c r="C3" s="7">
        <v>660</v>
      </c>
      <c r="E3">
        <f>MAX(C2:C61)</f>
        <v>940</v>
      </c>
    </row>
    <row r="4" spans="1:5" x14ac:dyDescent="0.25">
      <c r="A4" s="6">
        <v>1</v>
      </c>
      <c r="B4" s="6">
        <v>3</v>
      </c>
      <c r="C4" s="7">
        <v>740</v>
      </c>
    </row>
    <row r="5" spans="1:5" x14ac:dyDescent="0.25">
      <c r="A5" s="6">
        <v>1</v>
      </c>
      <c r="B5" s="6">
        <v>4</v>
      </c>
      <c r="C5" s="7">
        <v>740</v>
      </c>
    </row>
    <row r="6" spans="1:5" x14ac:dyDescent="0.25">
      <c r="A6" s="6">
        <v>1</v>
      </c>
      <c r="B6" s="6">
        <v>5</v>
      </c>
      <c r="C6" s="7">
        <v>660</v>
      </c>
    </row>
    <row r="7" spans="1:5" x14ac:dyDescent="0.25">
      <c r="A7" s="6">
        <v>1</v>
      </c>
      <c r="B7" s="6">
        <v>6</v>
      </c>
      <c r="C7" s="7">
        <v>620</v>
      </c>
    </row>
    <row r="8" spans="1:5" x14ac:dyDescent="0.25">
      <c r="A8" s="6">
        <v>2</v>
      </c>
      <c r="B8" s="6">
        <v>1</v>
      </c>
      <c r="C8" s="7">
        <v>580</v>
      </c>
    </row>
    <row r="9" spans="1:5" x14ac:dyDescent="0.25">
      <c r="A9" s="6">
        <v>2</v>
      </c>
      <c r="B9" s="6">
        <v>2</v>
      </c>
      <c r="C9" s="7">
        <v>640</v>
      </c>
    </row>
    <row r="10" spans="1:5" x14ac:dyDescent="0.25">
      <c r="A10" s="6">
        <v>2</v>
      </c>
      <c r="B10" s="6">
        <v>3</v>
      </c>
      <c r="C10" s="7">
        <v>780</v>
      </c>
    </row>
    <row r="11" spans="1:5" x14ac:dyDescent="0.25">
      <c r="A11" s="6">
        <v>2</v>
      </c>
      <c r="B11" s="6">
        <v>4</v>
      </c>
      <c r="C11" s="7">
        <v>780</v>
      </c>
    </row>
    <row r="12" spans="1:5" x14ac:dyDescent="0.25">
      <c r="A12" s="6">
        <v>2</v>
      </c>
      <c r="B12" s="6">
        <v>5</v>
      </c>
      <c r="C12" s="7">
        <v>780</v>
      </c>
    </row>
    <row r="13" spans="1:5" x14ac:dyDescent="0.25">
      <c r="A13" s="6">
        <v>2</v>
      </c>
      <c r="B13" s="6">
        <v>6</v>
      </c>
      <c r="C13" s="7">
        <v>660</v>
      </c>
    </row>
    <row r="14" spans="1:5" x14ac:dyDescent="0.25">
      <c r="A14" s="6">
        <v>3</v>
      </c>
      <c r="B14" s="6">
        <v>1</v>
      </c>
      <c r="C14" s="7">
        <v>180</v>
      </c>
    </row>
    <row r="15" spans="1:5" x14ac:dyDescent="0.25">
      <c r="A15" s="6">
        <v>3</v>
      </c>
      <c r="B15" s="6">
        <v>2</v>
      </c>
      <c r="C15" s="7">
        <v>200</v>
      </c>
    </row>
    <row r="16" spans="1:5" x14ac:dyDescent="0.25">
      <c r="A16" s="6">
        <v>3</v>
      </c>
      <c r="B16" s="6">
        <v>3</v>
      </c>
      <c r="C16" s="7">
        <v>220</v>
      </c>
    </row>
    <row r="17" spans="1:3" x14ac:dyDescent="0.25">
      <c r="A17" s="6">
        <v>3</v>
      </c>
      <c r="B17" s="6">
        <v>4</v>
      </c>
      <c r="C17" s="7">
        <v>200</v>
      </c>
    </row>
    <row r="18" spans="1:3" x14ac:dyDescent="0.25">
      <c r="A18" s="6">
        <v>3</v>
      </c>
      <c r="B18" s="6">
        <v>5</v>
      </c>
      <c r="C18" s="7">
        <v>180</v>
      </c>
    </row>
    <row r="19" spans="1:3" x14ac:dyDescent="0.25">
      <c r="A19" s="6">
        <v>3</v>
      </c>
      <c r="B19" s="6">
        <v>6</v>
      </c>
      <c r="C19" s="7">
        <v>160</v>
      </c>
    </row>
    <row r="20" spans="1:3" x14ac:dyDescent="0.25">
      <c r="A20" s="6">
        <v>4</v>
      </c>
      <c r="B20" s="6">
        <v>1</v>
      </c>
      <c r="C20" s="7">
        <v>580</v>
      </c>
    </row>
    <row r="21" spans="1:3" x14ac:dyDescent="0.25">
      <c r="A21" s="6">
        <v>4</v>
      </c>
      <c r="B21" s="6">
        <v>2</v>
      </c>
      <c r="C21" s="7">
        <v>740</v>
      </c>
    </row>
    <row r="22" spans="1:3" x14ac:dyDescent="0.25">
      <c r="A22" s="6">
        <v>4</v>
      </c>
      <c r="B22" s="6">
        <v>3</v>
      </c>
      <c r="C22" s="7">
        <v>900</v>
      </c>
    </row>
    <row r="23" spans="1:3" x14ac:dyDescent="0.25">
      <c r="A23" s="6">
        <v>4</v>
      </c>
      <c r="B23" s="6">
        <v>4</v>
      </c>
      <c r="C23" s="7">
        <v>940</v>
      </c>
    </row>
    <row r="24" spans="1:3" x14ac:dyDescent="0.25">
      <c r="A24" s="6">
        <v>4</v>
      </c>
      <c r="B24" s="6">
        <v>5</v>
      </c>
      <c r="C24" s="7">
        <v>820</v>
      </c>
    </row>
    <row r="25" spans="1:3" x14ac:dyDescent="0.25">
      <c r="A25" s="6">
        <v>4</v>
      </c>
      <c r="B25" s="6">
        <v>6</v>
      </c>
      <c r="C25" s="7">
        <v>680</v>
      </c>
    </row>
    <row r="26" spans="1:3" x14ac:dyDescent="0.25">
      <c r="A26" s="6">
        <v>5</v>
      </c>
      <c r="B26" s="6">
        <v>1</v>
      </c>
      <c r="C26" s="7">
        <v>640</v>
      </c>
    </row>
    <row r="27" spans="1:3" x14ac:dyDescent="0.25">
      <c r="A27" s="6">
        <v>5</v>
      </c>
      <c r="B27" s="6">
        <v>2</v>
      </c>
      <c r="C27" s="7">
        <v>820</v>
      </c>
    </row>
    <row r="28" spans="1:3" x14ac:dyDescent="0.25">
      <c r="A28" s="6">
        <v>5</v>
      </c>
      <c r="B28" s="6">
        <v>3</v>
      </c>
      <c r="C28" s="7">
        <v>920</v>
      </c>
    </row>
    <row r="29" spans="1:3" x14ac:dyDescent="0.25">
      <c r="A29" s="6">
        <v>5</v>
      </c>
      <c r="B29" s="6">
        <v>4</v>
      </c>
      <c r="C29" s="7">
        <v>940</v>
      </c>
    </row>
    <row r="30" spans="1:3" x14ac:dyDescent="0.25">
      <c r="A30" s="6">
        <v>5</v>
      </c>
      <c r="B30" s="6">
        <v>5</v>
      </c>
      <c r="C30" s="7">
        <v>820</v>
      </c>
    </row>
    <row r="31" spans="1:3" x14ac:dyDescent="0.25">
      <c r="A31" s="6">
        <v>5</v>
      </c>
      <c r="B31" s="6">
        <v>6</v>
      </c>
      <c r="C31" s="7">
        <v>680</v>
      </c>
    </row>
    <row r="32" spans="1:3" x14ac:dyDescent="0.25">
      <c r="A32" s="6">
        <v>6</v>
      </c>
      <c r="B32" s="6">
        <v>1</v>
      </c>
      <c r="C32" s="7">
        <v>520</v>
      </c>
    </row>
    <row r="33" spans="1:3" x14ac:dyDescent="0.25">
      <c r="A33" s="6">
        <v>6</v>
      </c>
      <c r="B33" s="6">
        <v>2</v>
      </c>
      <c r="C33" s="7">
        <v>700</v>
      </c>
    </row>
    <row r="34" spans="1:3" x14ac:dyDescent="0.25">
      <c r="A34" s="6">
        <v>6</v>
      </c>
      <c r="B34" s="6">
        <v>3</v>
      </c>
      <c r="C34" s="7">
        <v>780</v>
      </c>
    </row>
    <row r="35" spans="1:3" x14ac:dyDescent="0.25">
      <c r="A35" s="6">
        <v>6</v>
      </c>
      <c r="B35" s="6">
        <v>4</v>
      </c>
      <c r="C35" s="7">
        <v>780</v>
      </c>
    </row>
    <row r="36" spans="1:3" x14ac:dyDescent="0.25">
      <c r="A36" s="6">
        <v>6</v>
      </c>
      <c r="B36" s="6">
        <v>5</v>
      </c>
      <c r="C36" s="7">
        <v>780</v>
      </c>
    </row>
    <row r="37" spans="1:3" x14ac:dyDescent="0.25">
      <c r="A37" s="6">
        <v>6</v>
      </c>
      <c r="B37" s="6">
        <v>6</v>
      </c>
      <c r="C37" s="7">
        <v>600</v>
      </c>
    </row>
    <row r="38" spans="1:3" x14ac:dyDescent="0.25">
      <c r="A38" s="6">
        <v>7</v>
      </c>
      <c r="B38" s="6">
        <v>1</v>
      </c>
      <c r="C38" s="7">
        <v>460</v>
      </c>
    </row>
    <row r="39" spans="1:3" x14ac:dyDescent="0.25">
      <c r="A39" s="6">
        <v>7</v>
      </c>
      <c r="B39" s="6">
        <v>2</v>
      </c>
      <c r="C39" s="7">
        <v>600</v>
      </c>
    </row>
    <row r="40" spans="1:3" x14ac:dyDescent="0.25">
      <c r="A40" s="6">
        <v>7</v>
      </c>
      <c r="B40" s="6">
        <v>3</v>
      </c>
      <c r="C40" s="7">
        <v>660</v>
      </c>
    </row>
    <row r="41" spans="1:3" x14ac:dyDescent="0.25">
      <c r="A41" s="6">
        <v>7</v>
      </c>
      <c r="B41" s="6">
        <v>4</v>
      </c>
      <c r="C41" s="7">
        <v>720</v>
      </c>
    </row>
    <row r="42" spans="1:3" x14ac:dyDescent="0.25">
      <c r="A42" s="6">
        <v>7</v>
      </c>
      <c r="B42" s="6">
        <v>5</v>
      </c>
      <c r="C42" s="7">
        <v>620</v>
      </c>
    </row>
    <row r="43" spans="1:3" x14ac:dyDescent="0.25">
      <c r="A43" s="6">
        <v>7</v>
      </c>
      <c r="B43" s="6">
        <v>6</v>
      </c>
      <c r="C43" s="7">
        <v>500</v>
      </c>
    </row>
    <row r="44" spans="1:3" x14ac:dyDescent="0.25">
      <c r="A44" s="6">
        <v>8</v>
      </c>
      <c r="B44" s="6">
        <v>1</v>
      </c>
      <c r="C44" s="7">
        <v>620</v>
      </c>
    </row>
    <row r="45" spans="1:3" x14ac:dyDescent="0.25">
      <c r="A45" s="6">
        <v>8</v>
      </c>
      <c r="B45" s="6">
        <v>2</v>
      </c>
      <c r="C45" s="7">
        <v>700</v>
      </c>
    </row>
    <row r="46" spans="1:3" x14ac:dyDescent="0.25">
      <c r="A46" s="6">
        <v>8</v>
      </c>
      <c r="B46" s="6">
        <v>3</v>
      </c>
      <c r="C46" s="7">
        <v>840</v>
      </c>
    </row>
    <row r="47" spans="1:3" x14ac:dyDescent="0.25">
      <c r="A47" s="6">
        <v>8</v>
      </c>
      <c r="B47" s="6">
        <v>4</v>
      </c>
      <c r="C47" s="7">
        <v>880</v>
      </c>
    </row>
    <row r="48" spans="1:3" x14ac:dyDescent="0.25">
      <c r="A48" s="6">
        <v>8</v>
      </c>
      <c r="B48" s="6">
        <v>5</v>
      </c>
      <c r="C48" s="7">
        <v>780</v>
      </c>
    </row>
    <row r="49" spans="1:3" x14ac:dyDescent="0.25">
      <c r="A49" s="6">
        <v>8</v>
      </c>
      <c r="B49" s="6">
        <v>6</v>
      </c>
      <c r="C49" s="7">
        <v>640</v>
      </c>
    </row>
    <row r="50" spans="1:3" x14ac:dyDescent="0.25">
      <c r="A50" s="6">
        <v>9</v>
      </c>
      <c r="B50" s="6">
        <v>1</v>
      </c>
      <c r="C50" s="7">
        <v>540</v>
      </c>
    </row>
    <row r="51" spans="1:3" x14ac:dyDescent="0.25">
      <c r="A51" s="6">
        <v>9</v>
      </c>
      <c r="B51" s="6">
        <v>2</v>
      </c>
      <c r="C51" s="7">
        <v>660</v>
      </c>
    </row>
    <row r="52" spans="1:3" x14ac:dyDescent="0.25">
      <c r="A52" s="6">
        <v>9</v>
      </c>
      <c r="B52" s="6">
        <v>3</v>
      </c>
      <c r="C52" s="7">
        <v>760</v>
      </c>
    </row>
    <row r="53" spans="1:3" x14ac:dyDescent="0.25">
      <c r="A53" s="6">
        <v>9</v>
      </c>
      <c r="B53" s="6">
        <v>4</v>
      </c>
      <c r="C53" s="7">
        <v>800</v>
      </c>
    </row>
    <row r="54" spans="1:3" x14ac:dyDescent="0.25">
      <c r="A54" s="6">
        <v>9</v>
      </c>
      <c r="B54" s="6">
        <v>5</v>
      </c>
      <c r="C54" s="7">
        <v>680</v>
      </c>
    </row>
    <row r="55" spans="1:3" x14ac:dyDescent="0.25">
      <c r="A55" s="6">
        <v>9</v>
      </c>
      <c r="B55" s="6">
        <v>6</v>
      </c>
      <c r="C55" s="7">
        <v>560</v>
      </c>
    </row>
    <row r="56" spans="1:3" x14ac:dyDescent="0.25">
      <c r="A56" s="6">
        <v>10</v>
      </c>
      <c r="B56" s="6">
        <v>1</v>
      </c>
      <c r="C56" s="7">
        <v>160</v>
      </c>
    </row>
    <row r="57" spans="1:3" x14ac:dyDescent="0.25">
      <c r="A57" s="6">
        <v>10</v>
      </c>
      <c r="B57" s="6">
        <v>2</v>
      </c>
      <c r="C57" s="7">
        <v>180</v>
      </c>
    </row>
    <row r="58" spans="1:3" x14ac:dyDescent="0.25">
      <c r="A58" s="6">
        <v>10</v>
      </c>
      <c r="B58" s="6">
        <v>3</v>
      </c>
      <c r="C58" s="7">
        <v>200</v>
      </c>
    </row>
    <row r="59" spans="1:3" x14ac:dyDescent="0.25">
      <c r="A59" s="6">
        <v>10</v>
      </c>
      <c r="B59" s="6">
        <v>4</v>
      </c>
      <c r="C59" s="7">
        <v>180</v>
      </c>
    </row>
    <row r="60" spans="1:3" x14ac:dyDescent="0.25">
      <c r="A60" s="6">
        <v>10</v>
      </c>
      <c r="B60" s="6">
        <v>5</v>
      </c>
      <c r="C60" s="7">
        <v>160</v>
      </c>
    </row>
    <row r="61" spans="1:3" x14ac:dyDescent="0.25">
      <c r="A61" s="6">
        <v>10</v>
      </c>
      <c r="B61" s="6">
        <v>6</v>
      </c>
      <c r="C61" s="7">
        <v>140</v>
      </c>
    </row>
  </sheetData>
  <autoFilter ref="A1:C61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>
      <selection activeCell="H12" sqref="H12"/>
    </sheetView>
  </sheetViews>
  <sheetFormatPr defaultRowHeight="15" x14ac:dyDescent="0.25"/>
  <cols>
    <col min="1" max="4" width="18" customWidth="1"/>
  </cols>
  <sheetData>
    <row r="1" spans="1:4" x14ac:dyDescent="0.25">
      <c r="A1" s="3" t="s">
        <v>38</v>
      </c>
      <c r="B1" s="3" t="s">
        <v>39</v>
      </c>
      <c r="C1" s="3" t="s">
        <v>40</v>
      </c>
      <c r="D1" s="3" t="s">
        <v>41</v>
      </c>
    </row>
    <row r="2" spans="1:4" x14ac:dyDescent="0.25">
      <c r="A2" s="6">
        <v>0</v>
      </c>
      <c r="B2" s="5">
        <v>38.4</v>
      </c>
      <c r="C2" s="5">
        <v>27.14</v>
      </c>
      <c r="D2" s="4" t="s">
        <v>42</v>
      </c>
    </row>
    <row r="3" spans="1:4" x14ac:dyDescent="0.25">
      <c r="A3" s="6">
        <v>1</v>
      </c>
      <c r="B3" s="5">
        <v>38.429099000000001</v>
      </c>
      <c r="C3" s="5">
        <v>28.327233</v>
      </c>
      <c r="D3" s="4" t="s">
        <v>43</v>
      </c>
    </row>
    <row r="4" spans="1:4" x14ac:dyDescent="0.25">
      <c r="A4" s="6">
        <v>2</v>
      </c>
      <c r="B4" s="5">
        <v>38.331665999999998</v>
      </c>
      <c r="C4" s="5">
        <v>27.984508000000002</v>
      </c>
      <c r="D4" s="4" t="s">
        <v>44</v>
      </c>
    </row>
    <row r="5" spans="1:4" x14ac:dyDescent="0.25">
      <c r="A5" s="6">
        <v>3</v>
      </c>
      <c r="B5" s="5">
        <v>37.557924999999997</v>
      </c>
      <c r="C5" s="5">
        <v>28.326806000000001</v>
      </c>
      <c r="D5" s="4" t="s">
        <v>45</v>
      </c>
    </row>
    <row r="6" spans="1:4" x14ac:dyDescent="0.25">
      <c r="A6" s="6">
        <v>4</v>
      </c>
      <c r="B6" s="5">
        <v>38.446948999999996</v>
      </c>
      <c r="C6" s="5">
        <v>27.851392000000001</v>
      </c>
      <c r="D6" s="4" t="s">
        <v>46</v>
      </c>
    </row>
    <row r="7" spans="1:4" x14ac:dyDescent="0.25">
      <c r="A7" s="6">
        <v>5</v>
      </c>
      <c r="B7" s="5">
        <v>37.985990000000001</v>
      </c>
      <c r="C7" s="5">
        <v>27.841528</v>
      </c>
      <c r="D7" s="4" t="s">
        <v>47</v>
      </c>
    </row>
    <row r="8" spans="1:4" x14ac:dyDescent="0.25">
      <c r="A8" s="6">
        <v>6</v>
      </c>
      <c r="B8" s="5">
        <v>38.260601999999999</v>
      </c>
      <c r="C8" s="5">
        <v>28.259501</v>
      </c>
      <c r="D8" s="4" t="s">
        <v>48</v>
      </c>
    </row>
    <row r="9" spans="1:4" x14ac:dyDescent="0.25">
      <c r="A9" s="6">
        <v>7</v>
      </c>
      <c r="B9" s="5">
        <v>37.628391000000001</v>
      </c>
      <c r="C9" s="5">
        <v>28.085169</v>
      </c>
      <c r="D9" s="4" t="s">
        <v>49</v>
      </c>
    </row>
    <row r="10" spans="1:4" x14ac:dyDescent="0.25">
      <c r="A10" s="6">
        <v>8</v>
      </c>
      <c r="B10" s="5">
        <v>38.049804000000002</v>
      </c>
      <c r="C10" s="5">
        <v>27.959033999999999</v>
      </c>
      <c r="D10" s="4" t="s">
        <v>50</v>
      </c>
    </row>
    <row r="11" spans="1:4" x14ac:dyDescent="0.25">
      <c r="A11" s="6">
        <v>9</v>
      </c>
      <c r="B11" s="5">
        <v>38.372433000000001</v>
      </c>
      <c r="C11" s="5">
        <v>28.053882999999999</v>
      </c>
      <c r="D11" s="4" t="s">
        <v>51</v>
      </c>
    </row>
    <row r="12" spans="1:4" x14ac:dyDescent="0.25">
      <c r="A12" s="6">
        <v>10</v>
      </c>
      <c r="B12" s="5">
        <v>37.711798000000002</v>
      </c>
      <c r="C12" s="5">
        <v>28.123577999999998</v>
      </c>
      <c r="D12" s="4" t="s">
        <v>52</v>
      </c>
    </row>
    <row r="13" spans="1:4" x14ac:dyDescent="0.25">
      <c r="A13" s="6">
        <v>11</v>
      </c>
      <c r="B13" s="5">
        <v>38.435308999999997</v>
      </c>
      <c r="C13" s="5">
        <v>27.802298</v>
      </c>
      <c r="D13" s="4" t="s">
        <v>53</v>
      </c>
    </row>
    <row r="14" spans="1:4" x14ac:dyDescent="0.25">
      <c r="A14" s="6">
        <v>12</v>
      </c>
      <c r="B14" s="5">
        <v>38.204740000000001</v>
      </c>
      <c r="C14" s="5">
        <v>28.282392999999999</v>
      </c>
      <c r="D14" s="4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Dimensions</vt:lpstr>
      <vt:lpstr>Scenarios</vt:lpstr>
      <vt:lpstr>Vehicles</vt:lpstr>
      <vt:lpstr>Farmers</vt:lpstr>
      <vt:lpstr>Harvest</vt:lpstr>
      <vt:lpstr>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Gizem Çelik</cp:lastModifiedBy>
  <dcterms:created xsi:type="dcterms:W3CDTF">2026-04-20T19:53:29Z</dcterms:created>
  <dcterms:modified xsi:type="dcterms:W3CDTF">2026-05-14T10:15:09Z</dcterms:modified>
</cp:coreProperties>
</file>