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4a7fd4d7b649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b120cdd8e5f4d39"/>
    <x:sheet xmlns:r="http://schemas.openxmlformats.org/officeDocument/2006/relationships" name="Dimensions" sheetId="2" r:id="R2a4e01861adb47cc"/>
    <x:sheet xmlns:r="http://schemas.openxmlformats.org/officeDocument/2006/relationships" name="Scenarios" sheetId="3" r:id="R8e8c60fdccdc4c52"/>
    <x:sheet xmlns:r="http://schemas.openxmlformats.org/officeDocument/2006/relationships" name="Vehicles" sheetId="4" r:id="Rf0df91139d8e4c3b"/>
    <x:sheet xmlns:r="http://schemas.openxmlformats.org/officeDocument/2006/relationships" name="Farmers" sheetId="5" r:id="R2f9905e3817f4532"/>
    <x:sheet xmlns:r="http://schemas.openxmlformats.org/officeDocument/2006/relationships" name="Harvest" sheetId="6" r:id="R1223b5a3bcd8419b"/>
    <x:sheet xmlns:r="http://schemas.openxmlformats.org/officeDocument/2006/relationships" name="Coordinates" sheetId="7" r:id="R2db7cb6312e44bfc"/>
    <x:sheet xmlns:r="http://schemas.openxmlformats.org/officeDocument/2006/relationships" name="Sayfa1" sheetId="8" r:id="Rcdae6561193c43f7"/>
    <x:sheet xmlns:r="http://schemas.openxmlformats.org/officeDocument/2006/relationships" name="Design_Rationale" sheetId="9" r:id="R25b6366b280046a4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<x:sst xmlns:x="http://schemas.openxmlformats.org/spreadsheetml/2006/main">
  <x:si>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Parameter</x:t>
  </x:si>
  <x:si>
    <x:t xml:space="preserve">Value</x:t>
  </x:si>
  <x:si>
    <x:t xml:space="preserve">Description</x:t>
  </x:si>
  <x:si>
    <x:t xml:space="preserve">s</x:t>
  </x:si>
  <x:si>
    <x:t xml:space="preserve">d_s (deterioration rate)</x:t>
  </x:si>
  <x:si>
    <x:t xml:space="preserve">rho_s (probability)</x:t>
  </x:si>
  <x:si>
    <x:t xml:space="preserve">k</x:t>
  </x:si>
  <x:si>
    <x:t xml:space="preserve">q_k (kg)</x:t>
  </x:si>
  <x:si>
    <x:t xml:space="preserve">Farmer</x:t>
  </x:si>
  <x:si>
    <x:t xml:space="preserve">İlçe</x:t>
  </x:si>
  <x:si>
    <x:t xml:space="preserve">Profil</x:t>
  </x:si>
  <x:si>
    <x:t xml:space="preserve">t1 harvest</x:t>
  </x:si>
  <x:si>
    <x:t xml:space="preserve">a0 önerisi</x:t>
  </x:si>
  <x:si>
    <x:t xml:space="preserve">Turgutlu</x:t>
  </x:si>
  <x:si>
    <x:t xml:space="preserve">early</x:t>
  </x:si>
  <x:si>
    <x:t xml:space="preserve">Ahmetli</x:t>
  </x:si>
  <x:si>
    <x:t xml:space="preserve">mid-late</x:t>
  </x:si>
  <x:si>
    <x:t xml:space="preserve">Salihli</x:t>
  </x:si>
  <x:si>
    <x:t xml:space="preserve">mid</x:t>
  </x:si>
  <x:si>
    <x:t xml:space="preserve">Alaşehir</x:t>
  </x:si>
  <x:si>
    <x:t xml:space="preserve">late</x:t>
  </x:si>
  <x:si>
    <x:t xml:space="preserve">Sarıgöl</x:t>
  </x:si>
  <x:si>
    <x:t xml:space="preserve">Kırkağaç</x:t>
  </x:si>
  <x:si>
    <x:t xml:space="preserve">Kınık</x:t>
  </x:si>
  <x:si>
    <x:t xml:space="preserve">Menemen</x:t>
  </x:si>
  <x:si>
    <x:t xml:space="preserve">early-mid</x:t>
  </x:si>
  <x:si>
    <x:t xml:space="preserve">Torbalı</x:t>
  </x:si>
  <x:si>
    <x:t xml:space="preserve">Ödemiş</x:t>
  </x:si>
  <x:si>
    <x:t xml:space="preserve">Rol</x:t>
  </x:si>
  <x:si>
    <x:t xml:space="preserve">alpha</x:t>
  </x:si>
  <x:si>
    <x:t xml:space="preserve">yakın, organize büyük üretici</x:t>
  </x:si>
  <x:si>
    <x:t xml:space="preserve">8.0</x:t>
  </x:si>
  <x:si>
    <x:t xml:space="preserve">küçük-orta, köy yolu</x:t>
  </x:si>
  <x:si>
    <x:t xml:space="preserve">10.0</x:t>
  </x:si>
  <x:si>
    <x:t xml:space="preserve">büyük, organize</x:t>
  </x:si>
  <x:si>
    <x:t xml:space="preserve">9.0</x:t>
  </x:si>
  <x:si>
    <x:t xml:space="preserve">uzak, düşük hacim</x:t>
  </x:si>
  <x:si>
    <x:t xml:space="preserve">uzak, manuel yükleme</x:t>
  </x:si>
  <x:si>
    <x:t xml:space="preserve">13.0</x:t>
  </x:si>
  <x:si>
    <x:t xml:space="preserve">orta, kuzey hattı</x:t>
  </x:si>
  <x:si>
    <x:t xml:space="preserve">11.0</x:t>
  </x:si>
  <x:si>
    <x:t xml:space="preserve">küçük/uzak</x:t>
  </x:si>
  <x:si>
    <x:t xml:space="preserve">12.0</x:t>
  </x:si>
  <x:si>
    <x:t xml:space="preserve">büyük, iyi erişim</x:t>
  </x:si>
  <x:si>
    <x:t xml:space="preserve">güçlü üretici</x:t>
  </x:si>
  <x:si>
    <x:t xml:space="preserve">uzak/rota sonu</x:t>
  </x:si>
  <x:si>
    <x:t xml:space="preserve">t1</x:t>
  </x:si>
  <x:si>
    <x:t xml:space="preserve">t2</x:t>
  </x:si>
  <x:si>
    <x:t xml:space="preserve">t3</x:t>
  </x:si>
  <x:si>
    <x:t xml:space="preserve">t4</x:t>
  </x:si>
  <x:si>
    <x:t xml:space="preserve">t5</x:t>
  </x:si>
  <x:si>
    <x:t xml:space="preserve">t6</x:t>
  </x:si>
  <x:si>
    <x:t xml:space="preserve">Toplam</x:t>
  </x:si>
  <x:si>
    <x:t xml:space="preserve">node</x:t>
  </x:si>
  <x:si>
    <x:t xml:space="preserve">lat</x:t>
  </x:si>
  <x:si>
    <x:t xml:space="preserve">lon</x:t>
  </x:si>
  <x:si>
    <x:t xml:space="preserve">type</x:t>
  </x:si>
  <x:si>
    <x:t xml:space="preserve">hub (Turgutlu packing facility)</x:t>
  </x:si>
  <x:si>
    <x:t xml:space="preserve">2,5,8,10,14 ve origin 2</x:t>
  </x:si>
  <x:si>
    <x:t xml:space="preserve">farmer 1 (Turgutlu, Urganli side)</x:t>
  </x:si>
  <x:si>
    <x:t xml:space="preserve">farmer 3 (Ahmetli, Gokkaya side)</x:t>
  </x:si>
  <x:si>
    <x:t xml:space="preserve">farmer 4 (Salihli, Sart side)</x:t>
  </x:si>
  <x:si>
    <x:t xml:space="preserve">farmer 6 (Alasehir, Yesilyurt side)</x:t>
  </x:si>
  <x:si>
    <x:t xml:space="preserve">farmer 7 (Sarigol, Dindarli side)</x:t>
  </x:si>
  <x:si>
    <x:t xml:space="preserve">farmer 9 (Kirkagac, Bakir side)</x:t>
  </x:si>
  <x:si>
    <x:t xml:space="preserve">farmer 11 (Kinik, Poyracik side)</x:t>
  </x:si>
  <x:si>
    <x:t xml:space="preserve">farmer 12 (Menemen, Emiralem/Seyrek side)</x:t>
  </x:si>
  <x:si>
    <x:t xml:space="preserve">farmer 13 (Torbali, Pancar side)</x:t>
  </x:si>
  <x:si>
    <x:t xml:space="preserve">farmer 15 (Odemis, Kaymakci side)</x:t>
  </x:si>
  <x:si>
    <x:t xml:space="preserve">origin 3 (north-side depot, Akhisar area)</x:t>
  </x:si>
  <x:si>
    <x:t xml:space="preserve">origin 4 (south-side depot, Tire/Torbali area)</x:t>
  </x:si>
  <x:si>
    <x:t xml:space="preserve">origin 1 (Turgutlu west-side depot / Urganli area)</x:t>
  </x:si>
</x:sst>
</file>

<file path=xl/styles.xml><?xml version="1.0" encoding="utf-8"?>
<x:styleSheet xmlns:x="http://schemas.openxmlformats.org/spreadsheetml/2006/main">
  <x:numFmts count="3">
    <x:numFmt numFmtId="200" formatCode="0.000"/>
    <x:numFmt numFmtId="201" formatCode="#,##0"/>
    <x:numFmt numFmtId="202" formatCode="0.00"/>
  </x:numFmts>
  <x:fonts count="5">
    <x:font>
      <x:sz val="11"/>
      <x:color theme="1"/>
      <x:name val="Calibri"/>
    </x:font>
    <x:font>
      <x:b/>
      <x:sz val="11"/>
      <x:color rgb="FFFFFFFF"/>
      <x:name val="Calibri"/>
    </x:font>
    <x:font>
      <x:b/>
      <x:sz val="11"/>
      <x:color rgb="FF000000"/>
      <x:name val="Calibri"/>
    </x:font>
    <x:font>
      <x:sz val="11"/>
      <x:color rgb="FF000000"/>
      <x:name val="Calibri"/>
    </x:font>
    <x:font>
      <x:b/>
      <x:sz val="14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0" borderId="0" xfId="0" applyFont="1"/>
    <x:xf numFmtId="0" fontId="3" fillId="0" borderId="0" xfId="0" applyFont="1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2" fontId="3" fillId="0" borderId="0" xfId="0" applyNumberFormat="1" applyFont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3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1" fontId="0" fillId="0" borderId="1" xfId="0" applyNumberFormat="1" applyFont="1" applyFill="1" applyBorder="1" applyAlignment="1">
      <x:alignment wrapText="1"/>
    </x:xf>
    <x:xf numFmtId="2" fontId="3" fillId="0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e365b5fae4812" /><Relationship Type="http://schemas.openxmlformats.org/officeDocument/2006/relationships/theme" Target="/xl/theme/theme1.xml" Id="R0ad40d1ff94f43d0" /><Relationship Type="http://schemas.openxmlformats.org/officeDocument/2006/relationships/sheetMetadata" Target="/xl/metadata1.xml" Id="Rbe456ecd29624b27" /><Relationship Type="http://schemas.openxmlformats.org/officeDocument/2006/relationships/sharedStrings" Target="/xl/sharedStrings.xml" Id="Raa8eb83ce5584944" /><Relationship Type="http://schemas.openxmlformats.org/officeDocument/2006/relationships/worksheet" Target="/xl/worksheets/sheet1.xml" Id="R2b120cdd8e5f4d39" /><Relationship Type="http://schemas.openxmlformats.org/officeDocument/2006/relationships/worksheet" Target="/xl/worksheets/sheet2.xml" Id="R2a4e01861adb47cc" /><Relationship Type="http://schemas.openxmlformats.org/officeDocument/2006/relationships/worksheet" Target="/xl/worksheets/sheet3.xml" Id="R8e8c60fdccdc4c52" /><Relationship Type="http://schemas.openxmlformats.org/officeDocument/2006/relationships/worksheet" Target="/xl/worksheets/sheet4.xml" Id="Rf0df91139d8e4c3b" /><Relationship Type="http://schemas.openxmlformats.org/officeDocument/2006/relationships/worksheet" Target="/xl/worksheets/sheet5.xml" Id="R2f9905e3817f4532" /><Relationship Type="http://schemas.openxmlformats.org/officeDocument/2006/relationships/worksheet" Target="/xl/worksheets/sheet6.xml" Id="R1223b5a3bcd8419b" /><Relationship Type="http://schemas.openxmlformats.org/officeDocument/2006/relationships/worksheet" Target="/xl/worksheets/sheet7.xml" Id="R2db7cb6312e44bfc" /><Relationship Type="http://schemas.openxmlformats.org/officeDocument/2006/relationships/worksheet" Target="/xl/worksheets/sheet8.xml" Id="Rcdae6561193c43f7" /><Relationship Type="http://schemas.openxmlformats.org/officeDocument/2006/relationships/worksheet" Target="/xl/worksheets/sheet9.xml" Id="R25b6366b280046a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110" hidden="0" customWidth="1"/>
  </x:cols>
  <x:sheetData>
    <x:row r="1" ht="24" customHeight="1">
      <x:c r="A1" s="42" t="str">
        <x:v>HOW TO USE THIS FILE</x:v>
      </x:c>
    </x:row>
    <x:row r="2" ht="24" customHeight="1">
      <x:c r="A2" s="34"/>
    </x:row>
    <x:row r="3" ht="24" customHeight="1">
      <x:c r="A3" s="34" t="str">
        <x:v>1. DIMENSIONS: set nF, nK, nT, nS.</x:v>
      </x:c>
    </x:row>
    <x:row r="4" ht="24" customHeight="1">
      <x:c r="A4" s="34" t="str">
        <x:v>2. SCENARIOS: enter d_s and rho_s; probabilities must sum to 1.</x:v>
      </x:c>
    </x:row>
    <x:row r="5" ht="24" customHeight="1">
      <x:c r="A5" s="34" t="str">
        <x:v>3. VEHICLES: one row per vehicle k with capacity q_k in kg.</x:v>
      </x:c>
    </x:row>
    <x:row r="6" ht="24" customHeight="1">
      <x:c r="A6" s="34" t="str">
        <x:v>4. FARMERS: one row per farmer with price, service cost, and initial inventory.</x:v>
      </x:c>
    </x:row>
    <x:row r="7" ht="24" customHeight="1">
      <x:c r="A7" s="34" t="str">
        <x:v>5. HARVEST: one row per farmer-period pair; exactly nF x nT rows.</x:v>
      </x:c>
    </x:row>
    <x:row r="8" ht="24" customHeight="1">
      <x:c r="A8" s="34" t="str">
        <x:v>6. COORDINATES: hub=0, farmers=1..nF, vehicle origins=nF+1..nF+nK.</x:v>
      </x:c>
    </x:row>
    <x:row r="9" ht="24" customHeight="1">
      <x:c r="A9" s="34"/>
    </x:row>
    <x:row r="10" ht="24" customHeight="1">
      <x:c r="A10" s="34" t="str">
        <x:v>CALIBRATED SYNTHETIC INSTANCE</x:v>
      </x:c>
    </x:row>
    <x:row r="11" ht="24" customHeight="1">
      <x:c r="A11" s="34" t="str">
        <x:v>This instance is designed to expose the main operational mechanisms of the model.</x:v>
      </x:c>
    </x:row>
    <x:row r="12" ht="24" customHeight="1">
      <x:c r="A12" s="34" t="str">
        <x:v>It should be reported as an illustrative/calibrated synthetic case, not as observed farm data.</x:v>
      </x:c>
    </x:row>
    <x:row r="13" ht="24" customHeight="1">
      <x:c r="A13" s="34"/>
    </x:row>
    <x:row r="14" ht="24" customHeight="1">
      <x:c r="A14" s="34" t="str">
        <x:v>COLLABORATION MECHANISM</x:v>
      </x:c>
    </x:row>
    <x:row r="15" ht="24" customHeight="1">
      <x:c r="A15" s="34" t="str">
        <x:v>Vehicle capacities are 2,500 kg. Farmer 3 has a 2,800 kg harvest in period 4.</x:v>
      </x:c>
    </x:row>
    <x:row r="16" ht="24" customHeight="1">
      <x:c r="A16" s="34" t="str">
        <x:v>Hence, collecting Farmer 3's period-4 inventory under the full-pickup policy may require two vehicles.</x:v>
      </x:c>
    </x:row>
    <x:row r="17" ht="24" customHeight="1">
      <x:c r="A17" s="34"/>
    </x:row>
    <x:row r="18" ht="24" customHeight="1">
      <x:c r="A18" s="34" t="str">
        <x:v>FULL-PICKUP MECHANISM</x:v>
      </x:c>
    </x:row>
    <x:row r="19" ht="24" customHeight="1">
      <x:c r="A19" s="34" t="str">
        <x:v>The period-4 network harvest is 6,490 kg, above the 5,000 kg fleet capacity.</x:v>
      </x:c>
    </x:row>
    <x:row r="20" ht="24" customHeight="1">
      <x:c r="A20" s="34" t="str">
        <x:v>This creates a meaningful trade-off between split service, postponement, and partial pickup.</x:v>
      </x:c>
    </x:row>
    <x:row r="21" ht="24" customHeight="1">
      <x:c r="A21" s="34"/>
    </x:row>
    <x:row r="22" ht="24" customHeight="1">
      <x:c r="A22" s="34" t="str">
        <x:v>FRESHNESS MECHANISM</x:v>
      </x:c>
    </x:row>
    <x:row r="23" ht="24" customHeight="1">
      <x:c r="A23" s="34" t="str">
        <x:v>Farmers 4, 5, 7, and 10 have low volumes and relatively high service costs.</x:v>
      </x:c>
    </x:row>
    <x:row r="24" ht="24" customHeight="1">
      <x:c r="A24" s="34" t="str">
        <x:v>Their pickups may be postponed, allowing older cohorts to emerge in the base solution.</x:v>
      </x:c>
    </x:row>
    <x:row r="25" ht="24" customHeight="1">
      <x:c r="A25" s="34"/>
    </x:row>
    <x:row r="26" ht="24" customHeight="1">
      <x:c r="A26" s="34" t="str">
        <x:v>UNCERTAINTY MECHANISM</x:v>
      </x:c>
    </x:row>
    <x:row r="27" ht="24" customHeight="1">
      <x:c r="A27" s="34" t="str">
        <x:v>Deterioration rates are 0.03, 0.08, and 0.15 with probabilities 0.25, 0.50, and 0.25.</x:v>
      </x:c>
    </x:row>
    <x:row r="28" ht="24" customHeight="1">
      <x:c r="A28" s="34" t="str">
        <x:v>The wider scenario spread is intended to make delayed pickup decisions sensitive to uncertainty.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14" hidden="0" customWidth="1"/>
    <x:col min="2" max="2" width="12" hidden="0" customWidth="1"/>
    <x:col min="3" max="4" width="34" customWidth="1"/>
    <x:col min="3" max="3" width="28" hidden="0" customWidth="1"/>
  </x:cols>
  <x:sheetData>
    <x:row r="1">
      <x:c r="A1" s="15" t="s">
        <x:v>0</x:v>
      </x:c>
      <x:c r="B1" s="15" t="s">
        <x:v>1</x:v>
      </x:c>
      <x:c r="C1" s="15" t="s">
        <x:v>2</x:v>
      </x:c>
    </x:row>
    <x:row r="2">
      <x:c r="A2" t="str">
        <x:v>nF</x:v>
      </x:c>
      <x:c r="B2" t="n">
        <x:v>10</x:v>
      </x:c>
      <x:c r="C2" t="str">
        <x:v>Number of farmers</x:v>
      </x:c>
    </x:row>
    <x:row r="3">
      <x:c r="A3" t="str">
        <x:v>nK</x:v>
      </x:c>
      <x:c r="B3" t="n">
        <x:v>2</x:v>
      </x:c>
      <x:c r="C3" t="str">
        <x:v>Number of vehicles</x:v>
      </x:c>
    </x:row>
    <x:row r="4">
      <x:c r="A4" t="str">
        <x:v>nT</x:v>
      </x:c>
      <x:c r="B4" t="n">
        <x:v>6</x:v>
      </x:c>
      <x:c r="C4" t="str">
        <x:v>Number of periods</x:v>
      </x:c>
    </x:row>
    <x:row r="5">
      <x:c r="A5" t="str">
        <x:v>nS</x:v>
      </x:c>
      <x:c r="B5" t="n">
        <x:v>3</x:v>
      </x:c>
      <x:c r="C5" t="str">
        <x:v>Number of scenarios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8" hidden="0" customWidth="1"/>
    <x:col min="2" max="2" width="22" hidden="0" customWidth="1"/>
    <x:col min="3" max="4" width="34" customWidth="1"/>
    <x:col min="3" max="3" width="22" hidden="0" customWidth="1"/>
  </x:cols>
  <x:sheetData>
    <x:row r="1">
      <x:c r="A1" s="15" t="s">
        <x:v>3</x:v>
      </x:c>
      <x:c r="B1" s="15" t="s">
        <x:v>4</x:v>
      </x:c>
      <x:c r="C1" s="15" t="s">
        <x:v>5</x:v>
      </x:c>
    </x:row>
    <x:row r="2">
      <x:c r="A2" t="n">
        <x:v>1</x:v>
      </x:c>
      <x:c r="B2" s="24" t="n">
        <x:v>0.03</x:v>
      </x:c>
      <x:c r="C2" s="25" t="n">
        <x:v>0.25</x:v>
      </x:c>
    </x:row>
    <x:row r="3">
      <x:c r="A3" t="n">
        <x:v>2</x:v>
      </x:c>
      <x:c r="B3" s="24" t="n">
        <x:v>0.08</x:v>
      </x:c>
      <x:c r="C3" s="25" t="n">
        <x:v>0.5</x:v>
      </x:c>
    </x:row>
    <x:row r="4">
      <x:c r="A4" t="n">
        <x:v>3</x:v>
      </x:c>
      <x:c r="B4" s="24" t="n">
        <x:v>0.15</x:v>
      </x:c>
      <x:c r="C4" s="25" t="n">
        <x:v>0.25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5"/>
  <x:cols>
    <x:col min="1" max="1" width="8" hidden="0" customWidth="1"/>
    <x:col min="2" max="2" width="14" hidden="0" customWidth="1"/>
    <x:col min="3" max="4" width="34" customWidth="1"/>
    <x:col min="3" max="3" width="52" hidden="0" customWidth="1"/>
  </x:cols>
  <x:sheetData>
    <x:row r="1">
      <x:c r="A1" s="15" t="s">
        <x:v>6</x:v>
      </x:c>
      <x:c r="B1" s="15" t="s">
        <x:v>7</x:v>
      </x:c>
      <x:c r="C1" s="15" t="s">
        <x:v>2</x:v>
      </x:c>
    </x:row>
    <x:row r="2">
      <x:c r="A2" t="n">
        <x:v>1</x:v>
      </x:c>
      <x:c r="B2" s="28" t="n">
        <x:v>2500</x:v>
      </x:c>
      <x:c r="C2" t="str">
        <x:v>Collection vehicle 1 - Manisa-side origin; shared fleet</x:v>
      </x:c>
    </x:row>
    <x:row r="3">
      <x:c r="A3" t="n">
        <x:v>2</x:v>
      </x:c>
      <x:c r="B3" s="28" t="n">
        <x:v>2500</x:v>
      </x:c>
      <x:c r="C3" t="str">
        <x:v>Collection vehicle 2 - Izmir-side origin; shared fleet</x:v>
      </x:c>
    </x:row>
    <x:row r="4">
      <x:c r="B4" s="4"/>
    </x:row>
    <x:row r="5">
      <x:c r="B5" s="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5"/>
  <x:cols>
    <x:col min="1" max="1" width="8" hidden="0" customWidth="1"/>
    <x:col min="2" max="2" width="20" hidden="0" customWidth="1"/>
    <x:col min="3" max="4" width="34" customWidth="1"/>
    <x:col min="3" max="3" width="20" hidden="0" customWidth="1"/>
    <x:col min="4" max="4" width="20" hidden="0" customWidth="1"/>
  </x:cols>
  <x:sheetData>
    <x:row r="1">
      <x:c r="A1" s="15" t="str">
        <x:v>i</x:v>
      </x:c>
      <x:c r="B1" s="15" t="str">
        <x:v>r_price (EUR/kg)</x:v>
      </x:c>
      <x:c r="C1" s="15" t="str">
        <x:v>alpha (EUR/visit)</x:v>
      </x:c>
      <x:c r="D1" s="15" t="str">
        <x:v>a0 (kg)</x:v>
      </x:c>
      <x:c r="H1" s="2" t="s">
        <x:v>8</x:v>
      </x:c>
      <x:c r="I1" s="2" t="s">
        <x:v>9</x:v>
      </x:c>
      <x:c r="J1" s="2" t="s">
        <x:v>10</x:v>
      </x:c>
      <x:c r="K1" s="2" t="s">
        <x:v>11</x:v>
      </x:c>
      <x:c r="L1" s="2" t="s">
        <x:v>12</x:v>
      </x:c>
    </x:row>
    <x:row r="2">
      <x:c r="A2" s="3" t="n">
        <x:v>1</x:v>
      </x:c>
      <x:c r="B2" s="30" t="n">
        <x:v>0.56</x:v>
      </x:c>
      <x:c r="C2" s="30" t="n">
        <x:v>8</x:v>
      </x:c>
      <x:c r="D2" s="32" t="n">
        <x:v>180</x:v>
      </x:c>
      <x:c r="H2" s="3">
        <x:v>1</x:v>
      </x:c>
      <x:c r="I2" s="3" t="s">
        <x:v>13</x:v>
      </x:c>
      <x:c r="J2" s="3" t="s">
        <x:v>14</x:v>
      </x:c>
      <x:c r="K2" s="3">
        <x:v>780</x:v>
      </x:c>
      <x:c r="L2" s="3">
        <x:v>230</x:v>
      </x:c>
    </x:row>
    <x:row r="3">
      <x:c r="A3" s="3" t="n">
        <x:v>2</x:v>
      </x:c>
      <x:c r="B3" s="30" t="n">
        <x:v>0.49</x:v>
      </x:c>
      <x:c r="C3" s="30" t="n">
        <x:v>12</x:v>
      </x:c>
      <x:c r="D3" s="32" t="n">
        <x:v>20</x:v>
      </x:c>
      <x:c r="H3" s="3"/>
      <x:c r="I3" s="3"/>
      <x:c r="J3" s="3"/>
      <x:c r="K3" s="3"/>
      <x:c r="L3" s="3"/>
    </x:row>
    <x:row r="4">
      <x:c r="A4" s="3" t="n">
        <x:v>3</x:v>
      </x:c>
      <x:c r="B4" s="30" t="n">
        <x:v>0.6</x:v>
      </x:c>
      <x:c r="C4" s="30" t="n">
        <x:v>9</x:v>
      </x:c>
      <x:c r="D4" s="32" t="n">
        <x:v>300</x:v>
      </x:c>
      <x:c r="H4" s="3">
        <x:v>3</x:v>
      </x:c>
      <x:c r="I4" s="3" t="s">
        <x:v>15</x:v>
      </x:c>
      <x:c r="J4" s="3" t="s">
        <x:v>16</x:v>
      </x:c>
      <x:c r="K4" s="3">
        <x:v>100</x:v>
      </x:c>
      <x:c r="L4" s="3">
        <x:v>15</x:v>
      </x:c>
    </x:row>
    <x:row r="5">
      <x:c r="A5" s="3" t="n">
        <x:v>4</x:v>
      </x:c>
      <x:c r="B5" s="30" t="n">
        <x:v>0.45</x:v>
      </x:c>
      <x:c r="C5" s="30" t="n">
        <x:v>18</x:v>
      </x:c>
      <x:c r="D5" s="32" t="n">
        <x:v>0</x:v>
      </x:c>
      <x:c r="H5" s="3">
        <x:v>4</x:v>
      </x:c>
      <x:c r="I5" s="3" t="s">
        <x:v>17</x:v>
      </x:c>
      <x:c r="J5" s="3" t="s">
        <x:v>18</x:v>
      </x:c>
      <x:c r="K5" s="3">
        <x:v>580</x:v>
      </x:c>
      <x:c r="L5" s="3">
        <x:v>110</x:v>
      </x:c>
    </x:row>
    <x:row r="6">
      <x:c r="A6" s="3" t="n">
        <x:v>5</x:v>
      </x:c>
      <x:c r="B6" s="30" t="n">
        <x:v>0.46</x:v>
      </x:c>
      <x:c r="C6" s="30" t="n">
        <x:v>20</x:v>
      </x:c>
      <x:c r="D6" s="32" t="n">
        <x:v>10</x:v>
      </x:c>
      <x:c r="H6" s="3"/>
      <x:c r="I6" s="3"/>
      <x:c r="J6" s="3"/>
      <x:c r="K6" s="3"/>
      <x:c r="L6" s="3"/>
    </x:row>
    <x:row r="7">
      <x:c r="A7" s="3" t="n">
        <x:v>6</x:v>
      </x:c>
      <x:c r="B7" s="30" t="n">
        <x:v>0.5</x:v>
      </x:c>
      <x:c r="C7" s="30" t="n">
        <x:v>13</x:v>
      </x:c>
      <x:c r="D7" s="32" t="n">
        <x:v>30</x:v>
      </x:c>
      <x:c r="H7" s="3">
        <x:v>6</x:v>
      </x:c>
      <x:c r="I7" s="3" t="s">
        <x:v>19</x:v>
      </x:c>
      <x:c r="J7" s="3" t="s">
        <x:v>20</x:v>
      </x:c>
      <x:c r="K7" s="3">
        <x:v>30</x:v>
      </x:c>
      <x:c r="L7" s="3">
        <x:v>0</x:v>
      </x:c>
    </x:row>
    <x:row r="8">
      <x:c r="A8" s="3" t="n">
        <x:v>7</x:v>
      </x:c>
      <x:c r="B8" s="30" t="n">
        <x:v>0.48</x:v>
      </x:c>
      <x:c r="C8" s="30" t="n">
        <x:v>17</x:v>
      </x:c>
      <x:c r="D8" s="32" t="n">
        <x:v>10</x:v>
      </x:c>
      <x:c r="H8" s="3">
        <x:v>7</x:v>
      </x:c>
      <x:c r="I8" s="3" t="s">
        <x:v>21</x:v>
      </x:c>
      <x:c r="J8" s="3" t="s">
        <x:v>20</x:v>
      </x:c>
      <x:c r="K8" s="3">
        <x:v>40</x:v>
      </x:c>
      <x:c r="L8" s="3">
        <x:v>5</x:v>
      </x:c>
    </x:row>
    <x:row r="9">
      <x:c r="A9" s="3" t="n">
        <x:v>8</x:v>
      </x:c>
      <x:c r="B9" s="30" t="n">
        <x:v>0.57</x:v>
      </x:c>
      <x:c r="C9" s="30" t="n">
        <x:v>9</x:v>
      </x:c>
      <x:c r="D9" s="32" t="n">
        <x:v>140</x:v>
      </x:c>
      <x:c r="H9" s="3"/>
      <x:c r="I9" s="3"/>
      <x:c r="J9" s="3"/>
      <x:c r="K9" s="3"/>
      <x:c r="L9" s="3"/>
    </x:row>
    <x:row r="10">
      <x:c r="A10" s="3" t="n">
        <x:v>9</x:v>
      </x:c>
      <x:c r="B10" s="30" t="n">
        <x:v>0.55</x:v>
      </x:c>
      <x:c r="C10" s="30" t="n">
        <x:v>10</x:v>
      </x:c>
      <x:c r="D10" s="32" t="n">
        <x:v>80</x:v>
      </x:c>
      <x:c r="H10" s="3">
        <x:v>9</x:v>
      </x:c>
      <x:c r="I10" s="3" t="s">
        <x:v>22</x:v>
      </x:c>
      <x:c r="J10" s="3" t="s">
        <x:v>16</x:v>
      </x:c>
      <x:c r="K10" s="3">
        <x:v>120</x:v>
      </x:c>
      <x:c r="L10" s="3">
        <x:v>20</x:v>
      </x:c>
    </x:row>
    <x:row r="11">
      <x:c r="A11" s="3" t="n">
        <x:v>10</x:v>
      </x:c>
      <x:c r="B11" s="30" t="n">
        <x:v>0.47</x:v>
      </x:c>
      <x:c r="C11" s="30" t="n">
        <x:v>19</x:v>
      </x:c>
      <x:c r="D11" s="32" t="n">
        <x:v>10</x:v>
      </x:c>
      <x:c r="H11" s="3"/>
      <x:c r="I11" s="3"/>
      <x:c r="J11" s="3"/>
      <x:c r="K11" s="3"/>
      <x:c r="L11" s="3"/>
    </x:row>
    <x:row r="12">
      <x:c r="H12" s="3">
        <x:v>11</x:v>
      </x:c>
      <x:c r="I12" s="3" t="s">
        <x:v>23</x:v>
      </x:c>
      <x:c r="J12" s="3" t="s">
        <x:v>20</x:v>
      </x:c>
      <x:c r="K12" s="3">
        <x:v>55</x:v>
      </x:c>
      <x:c r="L12" s="3">
        <x:v>5</x:v>
      </x:c>
    </x:row>
    <x:row r="13">
      <x:c r="H13" s="3">
        <x:v>12</x:v>
      </x:c>
      <x:c r="I13" s="3" t="s">
        <x:v>24</x:v>
      </x:c>
      <x:c r="J13" s="3" t="s">
        <x:v>25</x:v>
      </x:c>
      <x:c r="K13" s="3">
        <x:v>635</x:v>
      </x:c>
      <x:c r="L13" s="3">
        <x:v>160</x:v>
      </x:c>
    </x:row>
    <x:row r="14">
      <x:c r="H14" s="3">
        <x:v>13</x:v>
      </x:c>
      <x:c r="I14" s="3" t="s">
        <x:v>26</x:v>
      </x:c>
      <x:c r="J14" s="3" t="s">
        <x:v>18</x:v>
      </x:c>
      <x:c r="K14" s="3">
        <x:v>360</x:v>
      </x:c>
      <x:c r="L14" s="3">
        <x:v>70</x:v>
      </x:c>
    </x:row>
    <x:row r="15">
      <x:c r="A15" s="3"/>
      <x:c r="D15" s="3"/>
      <x:c r="H15" s="3"/>
      <x:c r="I15" s="3"/>
      <x:c r="J15" s="3"/>
      <x:c r="K15" s="3"/>
      <x:c r="L15" s="3"/>
    </x:row>
    <x:row r="16">
      <x:c r="H16" s="3">
        <x:v>15</x:v>
      </x:c>
      <x:c r="I16" s="3" t="s">
        <x:v>27</x:v>
      </x:c>
      <x:c r="J16" s="3" t="s">
        <x:v>20</x:v>
      </x:c>
      <x:c r="K16" s="3">
        <x:v>55</x:v>
      </x:c>
      <x:c r="L16" s="3">
        <x:v>5</x:v>
      </x:c>
    </x:row>
    <x:row r="18">
      <x:c r="G18" s="2" t="s">
        <x:v>8</x:v>
      </x:c>
      <x:c r="H18" s="2" t="s">
        <x:v>9</x:v>
      </x:c>
      <x:c r="I18" s="2" t="s">
        <x:v>28</x:v>
      </x:c>
      <x:c r="J18" s="2" t="s">
        <x:v>29</x:v>
      </x:c>
    </x:row>
    <x:row r="19">
      <x:c r="G19" s="3">
        <x:v>1</x:v>
      </x:c>
      <x:c r="H19" s="3" t="s">
        <x:v>13</x:v>
      </x:c>
      <x:c r="I19" s="3" t="s">
        <x:v>30</x:v>
      </x:c>
      <x:c r="J19" s="6" t="s">
        <x:v>31</x:v>
      </x:c>
    </x:row>
    <x:row r="20">
      <x:c r="G20" s="3"/>
      <x:c r="H20" s="3"/>
      <x:c r="I20" s="3"/>
      <x:c r="J20" s="6"/>
    </x:row>
    <x:row r="21">
      <x:c r="G21" s="3">
        <x:v>3</x:v>
      </x:c>
      <x:c r="H21" s="3" t="s">
        <x:v>15</x:v>
      </x:c>
      <x:c r="I21" s="3" t="s">
        <x:v>32</x:v>
      </x:c>
      <x:c r="J21" s="6" t="s">
        <x:v>33</x:v>
      </x:c>
    </x:row>
    <x:row r="22">
      <x:c r="G22" s="3">
        <x:v>4</x:v>
      </x:c>
      <x:c r="H22" s="3" t="s">
        <x:v>17</x:v>
      </x:c>
      <x:c r="I22" s="3" t="s">
        <x:v>34</x:v>
      </x:c>
      <x:c r="J22" s="6" t="s">
        <x:v>35</x:v>
      </x:c>
    </x:row>
    <x:row r="23">
      <x:c r="G23" s="3"/>
      <x:c r="H23" s="3"/>
      <x:c r="I23" s="3"/>
      <x:c r="J23" s="6"/>
    </x:row>
    <x:row r="24">
      <x:c r="G24" s="3">
        <x:v>6</x:v>
      </x:c>
      <x:c r="H24" s="3" t="s">
        <x:v>19</x:v>
      </x:c>
      <x:c r="I24" s="3" t="s">
        <x:v>36</x:v>
      </x:c>
      <x:c r="J24" s="6">
        <x:v>46154</x:v>
      </x:c>
    </x:row>
    <x:row r="25">
      <x:c r="G25" s="3">
        <x:v>7</x:v>
      </x:c>
      <x:c r="H25" s="3" t="s">
        <x:v>21</x:v>
      </x:c>
      <x:c r="I25" s="3" t="s">
        <x:v>37</x:v>
      </x:c>
      <x:c r="J25" s="6" t="s">
        <x:v>38</x:v>
      </x:c>
    </x:row>
    <x:row r="26">
      <x:c r="G26" s="3"/>
      <x:c r="H26" s="3"/>
      <x:c r="I26" s="3"/>
      <x:c r="J26" s="6"/>
    </x:row>
    <x:row r="27">
      <x:c r="G27" s="3">
        <x:v>9</x:v>
      </x:c>
      <x:c r="H27" s="3" t="s">
        <x:v>22</x:v>
      </x:c>
      <x:c r="I27" s="3" t="s">
        <x:v>39</x:v>
      </x:c>
      <x:c r="J27" s="6" t="s">
        <x:v>40</x:v>
      </x:c>
    </x:row>
    <x:row r="28">
      <x:c r="G28" s="3"/>
      <x:c r="H28" s="3"/>
      <x:c r="I28" s="3"/>
      <x:c r="J28" s="6"/>
    </x:row>
    <x:row r="29">
      <x:c r="G29" s="3">
        <x:v>11</x:v>
      </x:c>
      <x:c r="H29" s="3" t="s">
        <x:v>23</x:v>
      </x:c>
      <x:c r="I29" s="3" t="s">
        <x:v>41</x:v>
      </x:c>
      <x:c r="J29" s="6" t="s">
        <x:v>42</x:v>
      </x:c>
    </x:row>
    <x:row r="30">
      <x:c r="G30" s="3">
        <x:v>12</x:v>
      </x:c>
      <x:c r="H30" s="3" t="s">
        <x:v>24</x:v>
      </x:c>
      <x:c r="I30" s="3" t="s">
        <x:v>43</x:v>
      </x:c>
      <x:c r="J30" s="6">
        <x:v>46150</x:v>
      </x:c>
    </x:row>
    <x:row r="31">
      <x:c r="G31" s="3">
        <x:v>13</x:v>
      </x:c>
      <x:c r="H31" s="3" t="s">
        <x:v>26</x:v>
      </x:c>
      <x:c r="I31" s="3" t="s">
        <x:v>44</x:v>
      </x:c>
      <x:c r="J31" s="6">
        <x:v>46151</x:v>
      </x:c>
    </x:row>
    <x:row r="32">
      <x:c r="G32" s="3"/>
      <x:c r="H32" s="3"/>
      <x:c r="I32" s="3"/>
      <x:c r="J32" s="6"/>
    </x:row>
    <x:row r="33">
      <x:c r="G33" s="3">
        <x:v>15</x:v>
      </x:c>
      <x:c r="H33" s="3" t="s">
        <x:v>27</x:v>
      </x:c>
      <x:c r="I33" s="3" t="s">
        <x:v>45</x:v>
      </x:c>
      <x:c r="J33" s="6">
        <x:v>46154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5"/>
  <x:cols>
    <x:col min="1" max="1" width="18" hidden="0" customWidth="1"/>
    <x:col min="2" max="2" width="18" hidden="0" customWidth="1"/>
    <x:col min="3" max="3" width="18" hidden="0" customWidth="1"/>
    <x:col min="4" max="4" width="34" customWidth="1"/>
  </x:cols>
  <x:sheetData>
    <x:row r="1">
      <x:c r="A1" s="15" t="str">
        <x:v>i (farmer)</x:v>
      </x:c>
      <x:c r="B1" s="15" t="str">
        <x:v>t (period)</x:v>
      </x:c>
      <x:c r="C1" s="15" t="str">
        <x:v>g_it (kg)</x:v>
      </x:c>
      <x:c r="D1" s="1"/>
      <x:c r="E1" s="1"/>
      <x:c r="F1" s="2" t="s">
        <x:v>8</x:v>
      </x:c>
      <x:c r="G1" s="2" t="s">
        <x:v>46</x:v>
      </x:c>
      <x:c r="H1" s="2" t="s">
        <x:v>47</x:v>
      </x:c>
      <x:c r="I1" s="2" t="s">
        <x:v>48</x:v>
      </x:c>
      <x:c r="J1" s="2" t="s">
        <x:v>49</x:v>
      </x:c>
      <x:c r="K1" s="2" t="s">
        <x:v>50</x:v>
      </x:c>
      <x:c r="L1" s="2" t="s">
        <x:v>51</x:v>
      </x:c>
      <x:c r="M1" s="2" t="s">
        <x:v>52</x:v>
      </x:c>
    </x:row>
    <x:row r="2">
      <x:c r="A2" t="n">
        <x:v>1</x:v>
      </x:c>
      <x:c r="B2" t="n">
        <x:v>1</x:v>
      </x:c>
      <x:c r="C2" s="28" t="n">
        <x:v>500</x:v>
      </x:c>
      <x:c r="F2" s="3">
        <x:v>1</x:v>
      </x:c>
      <x:c r="G2" s="3">
        <x:v>780</x:v>
      </x:c>
      <x:c r="H2" s="3">
        <x:v>715</x:v>
      </x:c>
      <x:c r="I2" s="3">
        <x:v>620</x:v>
      </x:c>
      <x:c r="J2" s="3">
        <x:v>490</x:v>
      </x:c>
      <x:c r="K2" s="3">
        <x:v>390</x:v>
      </x:c>
      <x:c r="L2" s="3">
        <x:v>260</x:v>
      </x:c>
      <x:c r="M2" s="3" t="n">
        <x:f>SUM(G2:L2)</x:f>
        <x:v>3255</x:v>
      </x:c>
      <x:c r="O2" t="n" cm="1">
        <x:f t="array" ref="O2:O61">_xlfn.TOCOL(G2:L11)</x:f>
        <x:v>780</x:v>
      </x:c>
    </x:row>
    <x:row r="3">
      <x:c r="A3" t="n">
        <x:v>1</x:v>
      </x:c>
      <x:c r="B3" t="n">
        <x:v>2</x:v>
      </x:c>
      <x:c r="C3" s="28" t="n">
        <x:v>600</x:v>
      </x:c>
      <x:c r="F3" s="3">
        <x:v>2</x:v>
      </x:c>
      <x:c r="G3" s="3">
        <x:v>100</x:v>
      </x:c>
      <x:c r="H3" s="3">
        <x:v>180</x:v>
      </x:c>
      <x:c r="I3" s="3">
        <x:v>295</x:v>
      </x:c>
      <x:c r="J3" s="3">
        <x:v>390</x:v>
      </x:c>
      <x:c r="K3" s="3">
        <x:v>375</x:v>
      </x:c>
      <x:c r="L3" s="3">
        <x:v>295</x:v>
      </x:c>
      <x:c r="M3" s="3" t="n">
        <x:f t="shared" ref="M3:M11" si="0">SUM(G3:L3)</x:f>
        <x:v>1635</x:v>
      </x:c>
      <x:c r="O3" t="n">
        <x:v>715</x:v>
      </x:c>
    </x:row>
    <x:row r="4">
      <x:c r="A4" t="n">
        <x:v>1</x:v>
      </x:c>
      <x:c r="B4" t="n">
        <x:v>3</x:v>
      </x:c>
      <x:c r="C4" s="28" t="n">
        <x:v>700</x:v>
      </x:c>
      <x:c r="F4" s="3">
        <x:v>3</x:v>
      </x:c>
      <x:c r="G4" s="3">
        <x:v>580</x:v>
      </x:c>
      <x:c r="H4" s="3">
        <x:v>925</x:v>
      </x:c>
      <x:c r="I4" s="3">
        <x:v>1270</x:v>
      </x:c>
      <x:c r="J4" s="3">
        <x:v>1330</x:v>
      </x:c>
      <x:c r="K4" s="3">
        <x:v>1040</x:v>
      </x:c>
      <x:c r="L4" s="3">
        <x:v>635</x:v>
      </x:c>
      <x:c r="M4" s="3">
        <x:f t="shared" si="0"/>
        <x:v>5780</x:v>
      </x:c>
      <x:c r="O4" t="n">
        <x:v>620</x:v>
      </x:c>
    </x:row>
    <x:row r="5">
      <x:c r="A5" t="n">
        <x:v>1</x:v>
      </x:c>
      <x:c r="B5" t="n">
        <x:v>4</x:v>
      </x:c>
      <x:c r="C5" s="28" t="n">
        <x:v>650</x:v>
      </x:c>
      <x:c r="F5" s="3">
        <x:v>4</x:v>
      </x:c>
      <x:c r="G5" s="3">
        <x:v>30</x:v>
      </x:c>
      <x:c r="H5" s="3">
        <x:v>60</x:v>
      </x:c>
      <x:c r="I5" s="3">
        <x:v>115</x:v>
      </x:c>
      <x:c r="J5" s="3">
        <x:v>195</x:v>
      </x:c>
      <x:c r="K5" s="3">
        <x:v>265</x:v>
      </x:c>
      <x:c r="L5" s="3">
        <x:v>310</x:v>
      </x:c>
      <x:c r="M5" s="3">
        <x:f t="shared" si="0"/>
        <x:v>975</x:v>
      </x:c>
      <x:c r="O5" t="n">
        <x:v>490</x:v>
      </x:c>
    </x:row>
    <x:row r="6">
      <x:c r="A6" t="n">
        <x:v>1</x:v>
      </x:c>
      <x:c r="B6" t="n">
        <x:v>5</x:v>
      </x:c>
      <x:c r="C6" s="28" t="n">
        <x:v>500</x:v>
      </x:c>
      <x:c r="F6" s="3">
        <x:v>5</x:v>
      </x:c>
      <x:c r="G6" s="3">
        <x:v>40</x:v>
      </x:c>
      <x:c r="H6" s="3">
        <x:v>75</x:v>
      </x:c>
      <x:c r="I6" s="3">
        <x:v>150</x:v>
      </x:c>
      <x:c r="J6" s="3">
        <x:v>250</x:v>
      </x:c>
      <x:c r="K6" s="3">
        <x:v>340</x:v>
      </x:c>
      <x:c r="L6" s="3">
        <x:v>405</x:v>
      </x:c>
      <x:c r="M6" s="3">
        <x:f t="shared" si="0"/>
        <x:v>1260</x:v>
      </x:c>
      <x:c r="O6" t="n">
        <x:v>390</x:v>
      </x:c>
    </x:row>
    <x:row r="7">
      <x:c r="A7" t="n">
        <x:v>1</x:v>
      </x:c>
      <x:c r="B7" t="n">
        <x:v>6</x:v>
      </x:c>
      <x:c r="C7" s="28" t="n">
        <x:v>350</x:v>
      </x:c>
      <x:c r="F7" s="3">
        <x:v>6</x:v>
      </x:c>
      <x:c r="G7" s="3">
        <x:v>120</x:v>
      </x:c>
      <x:c r="H7" s="3">
        <x:v>220</x:v>
      </x:c>
      <x:c r="I7" s="3">
        <x:v>360</x:v>
      </x:c>
      <x:c r="J7" s="3">
        <x:v>480</x:v>
      </x:c>
      <x:c r="K7" s="3">
        <x:v>460</x:v>
      </x:c>
      <x:c r="L7" s="3">
        <x:v>360</x:v>
      </x:c>
      <x:c r="M7" s="3">
        <x:f t="shared" si="0"/>
        <x:v>2000</x:v>
      </x:c>
      <x:c r="O7" t="n">
        <x:v>260</x:v>
      </x:c>
    </x:row>
    <x:row r="8">
      <x:c r="A8" t="n">
        <x:v>2</x:v>
      </x:c>
      <x:c r="B8" t="n">
        <x:v>1</x:v>
      </x:c>
      <x:c r="C8" s="28" t="n">
        <x:v>120</x:v>
      </x:c>
      <x:c r="F8" s="3">
        <x:v>7</x:v>
      </x:c>
      <x:c r="G8" s="3">
        <x:v>55</x:v>
      </x:c>
      <x:c r="H8" s="3">
        <x:v>105</x:v>
      </x:c>
      <x:c r="I8" s="3">
        <x:v>210</x:v>
      </x:c>
      <x:c r="J8" s="3">
        <x:v>355</x:v>
      </x:c>
      <x:c r="K8" s="3">
        <x:v>475</x:v>
      </x:c>
      <x:c r="L8" s="3">
        <x:v>565</x:v>
      </x:c>
      <x:c r="M8" s="3">
        <x:f t="shared" si="0"/>
        <x:v>1765</x:v>
      </x:c>
      <x:c r="O8" t="n">
        <x:v>100</x:v>
      </x:c>
    </x:row>
    <x:row r="9">
      <x:c r="A9" t="n">
        <x:v>2</x:v>
      </x:c>
      <x:c r="B9" t="n">
        <x:v>2</x:v>
      </x:c>
      <x:c r="C9" s="28" t="n">
        <x:v>180</x:v>
      </x:c>
      <x:c r="F9" s="3">
        <x:v>8</x:v>
      </x:c>
      <x:c r="G9" s="3">
        <x:v>635</x:v>
      </x:c>
      <x:c r="H9" s="3">
        <x:v>740</x:v>
      </x:c>
      <x:c r="I9" s="3">
        <x:v>775</x:v>
      </x:c>
      <x:c r="J9" s="3">
        <x:v>600</x:v>
      </x:c>
      <x:c r="K9" s="3">
        <x:v>460</x:v>
      </x:c>
      <x:c r="L9" s="3">
        <x:v>315</x:v>
      </x:c>
      <x:c r="M9" s="3">
        <x:f t="shared" si="0"/>
        <x:v>3525</x:v>
      </x:c>
      <x:c r="O9" t="n">
        <x:v>180</x:v>
      </x:c>
    </x:row>
    <x:row r="10">
      <x:c r="A10" t="n">
        <x:v>2</x:v>
      </x:c>
      <x:c r="B10" t="n">
        <x:v>3</x:v>
      </x:c>
      <x:c r="C10" s="28" t="n">
        <x:v>260</x:v>
      </x:c>
      <x:c r="F10" s="3">
        <x:v>9</x:v>
      </x:c>
      <x:c r="G10" s="3">
        <x:v>360</x:v>
      </x:c>
      <x:c r="H10" s="3">
        <x:v>575</x:v>
      </x:c>
      <x:c r="I10" s="3">
        <x:v>790</x:v>
      </x:c>
      <x:c r="J10" s="3">
        <x:v>825</x:v>
      </x:c>
      <x:c r="K10" s="3">
        <x:v>645</x:v>
      </x:c>
      <x:c r="L10" s="3">
        <x:v>395</x:v>
      </x:c>
      <x:c r="M10" s="3">
        <x:f t="shared" si="0"/>
        <x:v>3590</x:v>
      </x:c>
      <x:c r="O10" t="n">
        <x:v>295</x:v>
      </x:c>
    </x:row>
    <x:row r="11">
      <x:c r="A11" t="n">
        <x:v>2</x:v>
      </x:c>
      <x:c r="B11" t="n">
        <x:v>4</x:v>
      </x:c>
      <x:c r="C11" s="28" t="n">
        <x:v>340</x:v>
      </x:c>
      <x:c r="F11" s="3">
        <x:v>10</x:v>
      </x:c>
      <x:c r="G11" s="3">
        <x:v>55</x:v>
      </x:c>
      <x:c r="H11" s="3">
        <x:v>110</x:v>
      </x:c>
      <x:c r="I11" s="3">
        <x:v>215</x:v>
      </x:c>
      <x:c r="J11" s="3">
        <x:v>360</x:v>
      </x:c>
      <x:c r="K11" s="3">
        <x:v>485</x:v>
      </x:c>
      <x:c r="L11" s="3">
        <x:v>575</x:v>
      </x:c>
      <x:c r="M11" s="3">
        <x:f t="shared" si="0"/>
        <x:v>1800</x:v>
      </x:c>
      <x:c r="O11" t="n">
        <x:v>390</x:v>
      </x:c>
    </x:row>
    <x:row r="12">
      <x:c r="A12" t="n">
        <x:v>2</x:v>
      </x:c>
      <x:c r="B12" t="n">
        <x:v>5</x:v>
      </x:c>
      <x:c r="C12" s="28" t="n">
        <x:v>360</x:v>
      </x:c>
      <x:c r="O12" t="n">
        <x:v>375</x:v>
      </x:c>
    </x:row>
    <x:row r="13">
      <x:c r="A13" t="n">
        <x:v>2</x:v>
      </x:c>
      <x:c r="B13" t="n">
        <x:v>6</x:v>
      </x:c>
      <x:c r="C13" s="28" t="n">
        <x:v>300</x:v>
      </x:c>
      <x:c r="O13" t="n">
        <x:v>295</x:v>
      </x:c>
    </x:row>
    <x:row r="14">
      <x:c r="A14" t="n">
        <x:v>3</x:v>
      </x:c>
      <x:c r="B14" t="n">
        <x:v>1</x:v>
      </x:c>
      <x:c r="C14" s="28" t="n">
        <x:v>400</x:v>
      </x:c>
      <x:c r="O14" t="n">
        <x:v>580</x:v>
      </x:c>
    </x:row>
    <x:row r="15">
      <x:c r="A15" t="n">
        <x:v>3</x:v>
      </x:c>
      <x:c r="B15" t="n">
        <x:v>2</x:v>
      </x:c>
      <x:c r="C15" s="28" t="n">
        <x:v>700</x:v>
      </x:c>
      <x:c r="F15" s="3"/>
      <x:c r="G15" s="3"/>
      <x:c r="H15" s="3"/>
      <x:c r="I15" s="3"/>
      <x:c r="J15" s="3"/>
      <x:c r="K15" s="3"/>
      <x:c r="L15" s="3"/>
      <x:c r="M15" s="3"/>
      <x:c r="O15" t="n">
        <x:v>925</x:v>
      </x:c>
    </x:row>
    <x:row r="16">
      <x:c r="A16" t="n">
        <x:v>3</x:v>
      </x:c>
      <x:c r="B16" t="n">
        <x:v>3</x:v>
      </x:c>
      <x:c r="C16" s="28" t="n">
        <x:v>1200</x:v>
      </x:c>
      <x:c r="O16" t="n">
        <x:v>1270</x:v>
      </x:c>
    </x:row>
    <x:row r="17">
      <x:c r="A17" t="n">
        <x:v>3</x:v>
      </x:c>
      <x:c r="B17" t="n">
        <x:v>4</x:v>
      </x:c>
      <x:c r="C17" s="28" t="n">
        <x:v>2800</x:v>
      </x:c>
      <x:c r="O17" t="n">
        <x:v>1330</x:v>
      </x:c>
    </x:row>
    <x:row r="18">
      <x:c r="A18" t="n">
        <x:v>3</x:v>
      </x:c>
      <x:c r="B18" t="n">
        <x:v>5</x:v>
      </x:c>
      <x:c r="C18" s="28" t="n">
        <x:v>900</x:v>
      </x:c>
      <x:c r="O18" t="n">
        <x:v>1040</x:v>
      </x:c>
    </x:row>
    <x:row r="19">
      <x:c r="A19" t="n">
        <x:v>3</x:v>
      </x:c>
      <x:c r="B19" t="n">
        <x:v>6</x:v>
      </x:c>
      <x:c r="C19" s="28" t="n">
        <x:v>500</x:v>
      </x:c>
      <x:c r="O19" t="n">
        <x:v>635</x:v>
      </x:c>
    </x:row>
    <x:row r="20">
      <x:c r="A20" t="n">
        <x:v>4</x:v>
      </x:c>
      <x:c r="B20" t="n">
        <x:v>1</x:v>
      </x:c>
      <x:c r="C20" s="28" t="n">
        <x:v>40</x:v>
      </x:c>
      <x:c r="O20" t="n">
        <x:v>30</x:v>
      </x:c>
    </x:row>
    <x:row r="21">
      <x:c r="A21" t="n">
        <x:v>4</x:v>
      </x:c>
      <x:c r="B21" t="n">
        <x:v>2</x:v>
      </x:c>
      <x:c r="C21" s="28" t="n">
        <x:v>70</x:v>
      </x:c>
      <x:c r="O21" t="n">
        <x:v>60</x:v>
      </x:c>
    </x:row>
    <x:row r="22">
      <x:c r="A22" t="n">
        <x:v>4</x:v>
      </x:c>
      <x:c r="B22" t="n">
        <x:v>3</x:v>
      </x:c>
      <x:c r="C22" s="28" t="n">
        <x:v>120</x:v>
      </x:c>
      <x:c r="O22" t="n">
        <x:v>115</x:v>
      </x:c>
    </x:row>
    <x:row r="23">
      <x:c r="A23" t="n">
        <x:v>4</x:v>
      </x:c>
      <x:c r="B23" t="n">
        <x:v>4</x:v>
      </x:c>
      <x:c r="C23" s="28" t="n">
        <x:v>180</x:v>
      </x:c>
      <x:c r="O23" t="n">
        <x:v>195</x:v>
      </x:c>
    </x:row>
    <x:row r="24">
      <x:c r="A24" t="n">
        <x:v>4</x:v>
      </x:c>
      <x:c r="B24" t="n">
        <x:v>5</x:v>
      </x:c>
      <x:c r="C24" s="28" t="n">
        <x:v>260</x:v>
      </x:c>
      <x:c r="O24" t="n">
        <x:v>265</x:v>
      </x:c>
    </x:row>
    <x:row r="25">
      <x:c r="A25" t="n">
        <x:v>4</x:v>
      </x:c>
      <x:c r="B25" t="n">
        <x:v>6</x:v>
      </x:c>
      <x:c r="C25" s="28" t="n">
        <x:v>320</x:v>
      </x:c>
      <x:c r="O25" t="n">
        <x:v>310</x:v>
      </x:c>
    </x:row>
    <x:row r="26">
      <x:c r="A26" t="n">
        <x:v>5</x:v>
      </x:c>
      <x:c r="B26" t="n">
        <x:v>1</x:v>
      </x:c>
      <x:c r="C26" s="28" t="n">
        <x:v>50</x:v>
      </x:c>
      <x:c r="O26" t="n">
        <x:v>40</x:v>
      </x:c>
    </x:row>
    <x:row r="27">
      <x:c r="A27" t="n">
        <x:v>5</x:v>
      </x:c>
      <x:c r="B27" t="n">
        <x:v>2</x:v>
      </x:c>
      <x:c r="C27" s="28" t="n">
        <x:v>90</x:v>
      </x:c>
      <x:c r="O27" t="n">
        <x:v>75</x:v>
      </x:c>
    </x:row>
    <x:row r="28">
      <x:c r="A28" t="n">
        <x:v>5</x:v>
      </x:c>
      <x:c r="B28" t="n">
        <x:v>3</x:v>
      </x:c>
      <x:c r="C28" s="28" t="n">
        <x:v>160</x:v>
      </x:c>
      <x:c r="O28" t="n">
        <x:v>150</x:v>
      </x:c>
    </x:row>
    <x:row r="29">
      <x:c r="A29" t="n">
        <x:v>5</x:v>
      </x:c>
      <x:c r="B29" t="n">
        <x:v>4</x:v>
      </x:c>
      <x:c r="C29" s="28" t="n">
        <x:v>240</x:v>
      </x:c>
      <x:c r="O29" t="n">
        <x:v>250</x:v>
      </x:c>
    </x:row>
    <x:row r="30">
      <x:c r="A30" t="n">
        <x:v>5</x:v>
      </x:c>
      <x:c r="B30" t="n">
        <x:v>5</x:v>
      </x:c>
      <x:c r="C30" s="28" t="n">
        <x:v>330</x:v>
      </x:c>
      <x:c r="O30" t="n">
        <x:v>340</x:v>
      </x:c>
    </x:row>
    <x:row r="31">
      <x:c r="A31" t="n">
        <x:v>5</x:v>
      </x:c>
      <x:c r="B31" t="n">
        <x:v>6</x:v>
      </x:c>
      <x:c r="C31" s="28" t="n">
        <x:v>420</x:v>
      </x:c>
      <x:c r="O31" t="n">
        <x:v>405</x:v>
      </x:c>
    </x:row>
    <x:row r="32">
      <x:c r="A32" t="n">
        <x:v>6</x:v>
      </x:c>
      <x:c r="B32" t="n">
        <x:v>1</x:v>
      </x:c>
      <x:c r="C32" s="28" t="n">
        <x:v>140</x:v>
      </x:c>
      <x:c r="O32" t="n">
        <x:v>120</x:v>
      </x:c>
    </x:row>
    <x:row r="33">
      <x:c r="A33" t="n">
        <x:v>6</x:v>
      </x:c>
      <x:c r="B33" t="n">
        <x:v>2</x:v>
      </x:c>
      <x:c r="C33" s="28" t="n">
        <x:v>220</x:v>
      </x:c>
      <x:c r="O33" t="n">
        <x:v>220</x:v>
      </x:c>
    </x:row>
    <x:row r="34">
      <x:c r="A34" t="n">
        <x:v>6</x:v>
      </x:c>
      <x:c r="B34" t="n">
        <x:v>3</x:v>
      </x:c>
      <x:c r="C34" s="28" t="n">
        <x:v>340</x:v>
      </x:c>
      <x:c r="O34" t="n">
        <x:v>360</x:v>
      </x:c>
    </x:row>
    <x:row r="35">
      <x:c r="A35" t="n">
        <x:v>6</x:v>
      </x:c>
      <x:c r="B35" t="n">
        <x:v>4</x:v>
      </x:c>
      <x:c r="C35" s="28" t="n">
        <x:v>450</x:v>
      </x:c>
      <x:c r="O35" t="n">
        <x:v>480</x:v>
      </x:c>
    </x:row>
    <x:row r="36">
      <x:c r="A36" t="n">
        <x:v>6</x:v>
      </x:c>
      <x:c r="B36" t="n">
        <x:v>5</x:v>
      </x:c>
      <x:c r="C36" s="28" t="n">
        <x:v>430</x:v>
      </x:c>
      <x:c r="O36" t="n">
        <x:v>460</x:v>
      </x:c>
    </x:row>
    <x:row r="37">
      <x:c r="A37" t="n">
        <x:v>6</x:v>
      </x:c>
      <x:c r="B37" t="n">
        <x:v>6</x:v>
      </x:c>
      <x:c r="C37" s="28" t="n">
        <x:v>350</x:v>
      </x:c>
      <x:c r="O37" t="n">
        <x:v>360</x:v>
      </x:c>
    </x:row>
    <x:row r="38">
      <x:c r="A38" t="n">
        <x:v>7</x:v>
      </x:c>
      <x:c r="B38" t="n">
        <x:v>1</x:v>
      </x:c>
      <x:c r="C38" s="28" t="n">
        <x:v>60</x:v>
      </x:c>
      <x:c r="O38" t="n">
        <x:v>55</x:v>
      </x:c>
    </x:row>
    <x:row r="39">
      <x:c r="A39" t="n">
        <x:v>7</x:v>
      </x:c>
      <x:c r="B39" t="n">
        <x:v>2</x:v>
      </x:c>
      <x:c r="C39" s="28" t="n">
        <x:v>100</x:v>
      </x:c>
      <x:c r="O39" t="n">
        <x:v>105</x:v>
      </x:c>
    </x:row>
    <x:row r="40">
      <x:c r="A40" t="n">
        <x:v>7</x:v>
      </x:c>
      <x:c r="B40" t="n">
        <x:v>3</x:v>
      </x:c>
      <x:c r="C40" s="28" t="n">
        <x:v>180</x:v>
      </x:c>
      <x:c r="O40" t="n">
        <x:v>210</x:v>
      </x:c>
    </x:row>
    <x:row r="41">
      <x:c r="A41" t="n">
        <x:v>7</x:v>
      </x:c>
      <x:c r="B41" t="n">
        <x:v>4</x:v>
      </x:c>
      <x:c r="C41" s="28" t="n">
        <x:v>300</x:v>
      </x:c>
      <x:c r="O41" t="n">
        <x:v>355</x:v>
      </x:c>
    </x:row>
    <x:row r="42">
      <x:c r="A42" t="n">
        <x:v>7</x:v>
      </x:c>
      <x:c r="B42" t="n">
        <x:v>5</x:v>
      </x:c>
      <x:c r="C42" s="28" t="n">
        <x:v>430</x:v>
      </x:c>
      <x:c r="O42" t="n">
        <x:v>475</x:v>
      </x:c>
    </x:row>
    <x:row r="43">
      <x:c r="A43" t="n">
        <x:v>7</x:v>
      </x:c>
      <x:c r="B43" t="n">
        <x:v>6</x:v>
      </x:c>
      <x:c r="C43" s="28" t="n">
        <x:v>520</x:v>
      </x:c>
      <x:c r="O43" t="n">
        <x:v>565</x:v>
      </x:c>
    </x:row>
    <x:row r="44">
      <x:c r="A44" t="n">
        <x:v>8</x:v>
      </x:c>
      <x:c r="B44" t="n">
        <x:v>1</x:v>
      </x:c>
      <x:c r="C44" s="28" t="n">
        <x:v>450</x:v>
      </x:c>
      <x:c r="O44" t="n">
        <x:v>635</x:v>
      </x:c>
    </x:row>
    <x:row r="45">
      <x:c r="A45" t="n">
        <x:v>8</x:v>
      </x:c>
      <x:c r="B45" t="n">
        <x:v>2</x:v>
      </x:c>
      <x:c r="C45" s="28" t="n">
        <x:v>550</x:v>
      </x:c>
      <x:c r="O45" t="n">
        <x:v>740</x:v>
      </x:c>
    </x:row>
    <x:row r="46">
      <x:c r="A46" t="n">
        <x:v>8</x:v>
      </x:c>
      <x:c r="B46" t="n">
        <x:v>3</x:v>
      </x:c>
      <x:c r="C46" s="28" t="n">
        <x:v>650</x:v>
      </x:c>
      <x:c r="O46" t="n">
        <x:v>775</x:v>
      </x:c>
    </x:row>
    <x:row r="47">
      <x:c r="A47" t="n">
        <x:v>8</x:v>
      </x:c>
      <x:c r="B47" t="n">
        <x:v>4</x:v>
      </x:c>
      <x:c r="C47" s="28" t="n">
        <x:v>600</x:v>
      </x:c>
      <x:c r="O47" t="n">
        <x:v>600</x:v>
      </x:c>
    </x:row>
    <x:row r="48">
      <x:c r="A48" t="n">
        <x:v>8</x:v>
      </x:c>
      <x:c r="B48" t="n">
        <x:v>5</x:v>
      </x:c>
      <x:c r="C48" s="28" t="n">
        <x:v>450</x:v>
      </x:c>
      <x:c r="O48" t="n">
        <x:v>460</x:v>
      </x:c>
    </x:row>
    <x:row r="49">
      <x:c r="A49" t="n">
        <x:v>8</x:v>
      </x:c>
      <x:c r="B49" t="n">
        <x:v>6</x:v>
      </x:c>
      <x:c r="C49" s="28" t="n">
        <x:v>300</x:v>
      </x:c>
      <x:c r="O49" t="n">
        <x:v>315</x:v>
      </x:c>
    </x:row>
    <x:row r="50">
      <x:c r="A50" t="n">
        <x:v>9</x:v>
      </x:c>
      <x:c r="B50" t="n">
        <x:v>1</x:v>
      </x:c>
      <x:c r="C50" s="28" t="n">
        <x:v>300</x:v>
      </x:c>
      <x:c r="O50" t="n">
        <x:v>360</x:v>
      </x:c>
    </x:row>
    <x:row r="51">
      <x:c r="A51" t="n">
        <x:v>9</x:v>
      </x:c>
      <x:c r="B51" t="n">
        <x:v>2</x:v>
      </x:c>
      <x:c r="C51" s="28" t="n">
        <x:v>450</x:v>
      </x:c>
      <x:c r="O51" t="n">
        <x:v>575</x:v>
      </x:c>
    </x:row>
    <x:row r="52">
      <x:c r="A52" t="n">
        <x:v>9</x:v>
      </x:c>
      <x:c r="B52" t="n">
        <x:v>3</x:v>
      </x:c>
      <x:c r="C52" s="28" t="n">
        <x:v>600</x:v>
      </x:c>
      <x:c r="O52" t="n">
        <x:v>790</x:v>
      </x:c>
    </x:row>
    <x:row r="53">
      <x:c r="A53" t="n">
        <x:v>9</x:v>
      </x:c>
      <x:c r="B53" t="n">
        <x:v>4</x:v>
      </x:c>
      <x:c r="C53" s="28" t="n">
        <x:v>650</x:v>
      </x:c>
      <x:c r="O53" t="n">
        <x:v>825</x:v>
      </x:c>
    </x:row>
    <x:row r="54">
      <x:c r="A54" t="n">
        <x:v>9</x:v>
      </x:c>
      <x:c r="B54" t="n">
        <x:v>5</x:v>
      </x:c>
      <x:c r="C54" s="28" t="n">
        <x:v>500</x:v>
      </x:c>
      <x:c r="O54" t="n">
        <x:v>645</x:v>
      </x:c>
    </x:row>
    <x:row r="55">
      <x:c r="A55" t="n">
        <x:v>9</x:v>
      </x:c>
      <x:c r="B55" t="n">
        <x:v>6</x:v>
      </x:c>
      <x:c r="C55" s="28" t="n">
        <x:v>350</x:v>
      </x:c>
      <x:c r="O55" t="n">
        <x:v>395</x:v>
      </x:c>
    </x:row>
    <x:row r="56">
      <x:c r="A56" t="n">
        <x:v>10</x:v>
      </x:c>
      <x:c r="B56" t="n">
        <x:v>1</x:v>
      </x:c>
      <x:c r="C56" s="28" t="n">
        <x:v>50</x:v>
      </x:c>
      <x:c r="O56" t="n">
        <x:v>55</x:v>
      </x:c>
    </x:row>
    <x:row r="57">
      <x:c r="A57" t="n">
        <x:v>10</x:v>
      </x:c>
      <x:c r="B57" t="n">
        <x:v>2</x:v>
      </x:c>
      <x:c r="C57" s="28" t="n">
        <x:v>90</x:v>
      </x:c>
      <x:c r="O57" t="n">
        <x:v>110</x:v>
      </x:c>
    </x:row>
    <x:row r="58">
      <x:c r="A58" t="n">
        <x:v>10</x:v>
      </x:c>
      <x:c r="B58" t="n">
        <x:v>3</x:v>
      </x:c>
      <x:c r="C58" s="28" t="n">
        <x:v>170</x:v>
      </x:c>
      <x:c r="O58" t="n">
        <x:v>215</x:v>
      </x:c>
    </x:row>
    <x:row r="59">
      <x:c r="A59" t="n">
        <x:v>10</x:v>
      </x:c>
      <x:c r="B59" t="n">
        <x:v>4</x:v>
      </x:c>
      <x:c r="C59" s="28" t="n">
        <x:v>280</x:v>
      </x:c>
      <x:c r="O59" t="n">
        <x:v>360</x:v>
      </x:c>
    </x:row>
    <x:row r="60">
      <x:c r="A60" t="n">
        <x:v>10</x:v>
      </x:c>
      <x:c r="B60" t="n">
        <x:v>5</x:v>
      </x:c>
      <x:c r="C60" s="28" t="n">
        <x:v>420</x:v>
      </x:c>
      <x:c r="O60" t="n">
        <x:v>485</x:v>
      </x:c>
    </x:row>
    <x:row r="61">
      <x:c r="A61" t="n">
        <x:v>10</x:v>
      </x:c>
      <x:c r="B61" t="n">
        <x:v>6</x:v>
      </x:c>
      <x:c r="C61" s="28" t="n">
        <x:v>540</x:v>
      </x:c>
      <x:c r="O61" t="n">
        <x:v>575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5"/>
  <x:cols>
    <x:col min="1" max="1" width="14" customWidth="1"/>
    <x:col min="2" max="2" width="22" customWidth="1"/>
    <x:col min="3" max="4" width="34" customWidth="1"/>
  </x:cols>
  <x:sheetData>
    <x:row r="1">
      <x:c r="A1" s="15" t="s">
        <x:v>53</x:v>
      </x:c>
      <x:c r="B1" s="15" t="s">
        <x:v>54</x:v>
      </x:c>
      <x:c r="C1" s="15" t="s">
        <x:v>55</x:v>
      </x:c>
      <x:c r="D1" s="2" t="s">
        <x:v>56</x:v>
      </x:c>
    </x:row>
    <x:row r="2">
      <x:c r="A2" s="3">
        <x:v>0</x:v>
      </x:c>
      <x:c r="B2" s="3">
        <x:v>38.5002</x:v>
      </x:c>
      <x:c r="C2" s="3">
        <x:v>27.708400000000001</x:v>
      </x:c>
      <x:c r="D2" s="3" t="s">
        <x:v>57</x:v>
      </x:c>
      <x:c r="H2" t="s">
        <x:v>58</x:v>
      </x:c>
    </x:row>
    <x:row r="3">
      <x:c r="A3" s="3">
        <x:v>1</x:v>
      </x:c>
      <x:c r="B3" s="3">
        <x:v>38.515000000000001</x:v>
      </x:c>
      <x:c r="C3" s="3">
        <x:v>27.585000000000001</x:v>
      </x:c>
      <x:c r="D3" s="3" t="s">
        <x:v>59</x:v>
      </x:c>
    </x:row>
    <x:row r="4">
      <x:c r="A4" s="3">
        <x:v>2</x:v>
      </x:c>
      <x:c r="B4" s="3">
        <x:v>38.524999999999999</x:v>
      </x:c>
      <x:c r="C4" s="3">
        <x:v>27.914999999999999</x:v>
      </x:c>
      <x:c r="D4" s="3" t="s">
        <x:v>60</x:v>
      </x:c>
    </x:row>
    <x:row r="5">
      <x:c r="A5" s="3">
        <x:v>3</x:v>
      </x:c>
      <x:c r="B5" s="3">
        <x:v>38.488</x:v>
      </x:c>
      <x:c r="C5" s="3">
        <x:v>28.05</x:v>
      </x:c>
      <x:c r="D5" s="3" t="s">
        <x:v>61</x:v>
      </x:c>
    </x:row>
    <x:row r="6">
      <x:c r="A6" s="3">
        <x:v>4</x:v>
      </x:c>
      <x:c r="B6" s="3">
        <x:v>38.384999999999998</x:v>
      </x:c>
      <x:c r="C6" s="3">
        <x:v>28.465</x:v>
      </x:c>
      <x:c r="D6" s="3" t="s">
        <x:v>62</x:v>
      </x:c>
    </x:row>
    <x:row r="7">
      <x:c r="A7" s="3">
        <x:v>5</x:v>
      </x:c>
      <x:c r="B7" s="3">
        <x:v>38.22</x:v>
      </x:c>
      <x:c r="C7" s="3">
        <x:v>28.69</x:v>
      </x:c>
      <x:c r="D7" s="3" t="s">
        <x:v>63</x:v>
      </x:c>
    </x:row>
    <x:row r="8">
      <x:c r="A8" s="3">
        <x:v>6</x:v>
      </x:c>
      <x:c r="B8" s="3">
        <x:v>39.119999999999997</x:v>
      </x:c>
      <x:c r="C8" s="3">
        <x:v>27.66</x:v>
      </x:c>
      <x:c r="D8" s="3" t="s">
        <x:v>64</x:v>
      </x:c>
    </x:row>
    <x:row r="9">
      <x:c r="A9" s="3">
        <x:v>7</x:v>
      </x:c>
      <x:c r="B9" s="3">
        <x:v>39.090000000000003</x:v>
      </x:c>
      <x:c r="C9" s="3">
        <x:v>27.37</x:v>
      </x:c>
      <x:c r="D9" s="3" t="s">
        <x:v>65</x:v>
      </x:c>
    </x:row>
    <x:row r="10">
      <x:c r="A10" s="3">
        <x:v>8</x:v>
      </x:c>
      <x:c r="B10" s="3">
        <x:v>38.61</x:v>
      </x:c>
      <x:c r="C10" s="3">
        <x:v>27.07</x:v>
      </x:c>
      <x:c r="D10" s="3" t="s">
        <x:v>66</x:v>
      </x:c>
    </x:row>
    <x:row r="11">
      <x:c r="A11" s="3">
        <x:v>9</x:v>
      </x:c>
      <x:c r="B11" s="3">
        <x:v>38.17</x:v>
      </x:c>
      <x:c r="C11" s="3">
        <x:v>27.36</x:v>
      </x:c>
      <x:c r="D11" s="3" t="s">
        <x:v>67</x:v>
      </x:c>
    </x:row>
    <x:row r="12">
      <x:c r="A12" s="3">
        <x:v>10</x:v>
      </x:c>
      <x:c r="B12" s="3">
        <x:v>38.22</x:v>
      </x:c>
      <x:c r="C12" s="3">
        <x:v>28.02</x:v>
      </x:c>
      <x:c r="D12" s="3" t="s">
        <x:v>68</x:v>
      </x:c>
    </x:row>
    <x:row r="13">
      <x:c r="A13" s="3">
        <x:v>11</x:v>
      </x:c>
      <x:c r="B13" s="3">
        <x:v>38.9</x:v>
      </x:c>
      <x:c r="C13" s="3">
        <x:v>27.7</x:v>
      </x:c>
      <x:c r="D13" s="3" t="s">
        <x:v>69</x:v>
      </x:c>
    </x:row>
    <x:row r="14">
      <x:c r="A14" s="3">
        <x:v>12</x:v>
      </x:c>
      <x:c r="B14" s="3">
        <x:v>38.15</x:v>
      </x:c>
      <x:c r="C14" s="3">
        <x:v>27.65</x:v>
      </x:c>
      <x:c r="D14" s="3" t="s">
        <x:v>70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RowHeight="15"/>
  <x:sheetData>
    <x:row r="1">
      <x:c r="A1" s="3">
        <x:v>11</x:v>
      </x:c>
      <x:c r="B1" s="3">
        <x:v>38.53</x:v>
      </x:c>
      <x:c r="C1" s="3">
        <x:v>28.05</x:v>
      </x:c>
      <x:c r="D1" s="3" t="s">
        <x:v>71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52" hidden="0" customWidth="1"/>
    <x:col min="4" max="4" width="52" hidden="0" customWidth="1"/>
  </x:cols>
  <x:sheetData>
    <x:row r="1" ht="42" customHeight="1">
      <x:c r="A1" s="37" t="str">
        <x:v>Design element</x:v>
      </x:c>
      <x:c r="B1" s="37" t="str">
        <x:v>Parameter choice</x:v>
      </x:c>
      <x:c r="C1" s="37" t="str">
        <x:v>Expected mechanism</x:v>
      </x:c>
      <x:c r="D1" s="37" t="str">
        <x:v>Validation after solve</x:v>
      </x:c>
    </x:row>
    <x:row r="2" ht="42" customHeight="1">
      <x:c r="A2" s="38" t="str">
        <x:v>Shared pickup</x:v>
      </x:c>
      <x:c r="B2" s="38" t="str">
        <x:v>q1=q2=2,500 kg; Farmer 3 has 2,800 kg in t=4</x:v>
      </x:c>
      <x:c r="C2" s="38" t="str">
        <x:v>A full pickup from Farmer 3 can exceed one vehicle capacity and require load sharing.</x:v>
      </x:c>
      <x:c r="D2" s="38" t="str">
        <x:v>Check split pickups and L(i,k,t,s) for Farmer 3.</x:v>
      </x:c>
    </x:row>
    <x:row r="3" ht="42" customHeight="1">
      <x:c r="A3" s="38" t="str">
        <x:v>Full-pickup policy</x:v>
      </x:c>
      <x:c r="B3" s="38" t="str">
        <x:v>Period-4 total harvest = 6,490 kg versus 5,000 kg fleet capacity</x:v>
      </x:c>
      <x:c r="C3" s="38" t="str">
        <x:v>The full-pickup model faces a discrete capacity trade-off; the partial model may leave a residual amount.</x:v>
      </x:c>
      <x:c r="D3" s="38" t="str">
        <x:v>Compare objective, visits, residual inventory, and terminal inventory.</x:v>
      </x:c>
    </x:row>
    <x:row r="4" ht="42" customHeight="1">
      <x:c r="A4" s="38" t="str">
        <x:v>Freshness policy</x:v>
      </x:c>
      <x:c r="B4" s="38" t="str">
        <x:v>Small farmers have high service costs and dispersed harvests</x:v>
      </x:c>
      <x:c r="C4" s="38" t="str">
        <x:v>The base model may postpone collection and create age-2 or older cohorts.</x:v>
      </x:c>
      <x:c r="D4" s="38" t="str">
        <x:v>Check maximum age, fresh share, and visit schedules.</x:v>
      </x:c>
    </x:row>
    <x:row r="5" ht="42" customHeight="1">
      <x:c r="A5" s="38" t="str">
        <x:v>Uncertainty</x:v>
      </x:c>
      <x:c r="B5" s="38" t="str">
        <x:v>d={0.03,0.08,0.15}, rho={0.25,0.50,0.25}</x:v>
      </x:c>
      <x:c r="C5" s="38" t="str">
        <x:v>Delayed pickup has materially different revenue and quantity consequences across scenarios.</x:v>
      </x:c>
      <x:c r="D5" s="38" t="str">
        <x:v>Compute stochastic, expected-value, and wait-and-see solutions.</x:v>
      </x:c>
    </x:row>
    <x:row r="6" ht="42" customHeight="1">
      <x:c r="A6" s="38" t="str">
        <x:v>Economic heterogeneity</x:v>
      </x:c>
      <x:c r="B6" s="38" t="str">
        <x:v>Prices 0.45-0.60 EUR/kg; service costs 8-20 EUR/visit</x:v>
      </x:c>
      <x:c r="C6" s="38" t="str">
        <x:v>The model should prioritize high-value/high-volume farmers while consolidating low-volume visits.</x:v>
      </x:c>
      <x:c r="D6" s="38" t="str">
        <x:v>Check farmer-level pickup frequency and revenue contribution.</x:v>
      </x:c>
    </x:row>
  </x:sheetData>
  <x:pageMargins left="0.7" right="0.7" top="0.75" bottom="0.75" header="0.3" footer="0.3"/>
</x:worksheet>
</file>